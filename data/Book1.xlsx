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akita\nagasaku\WORK\data\"/>
    </mc:Choice>
  </mc:AlternateContent>
  <xr:revisionPtr revIDLastSave="0" documentId="13_ncr:1_{9403860C-0634-4CC0-9349-218E072AF24A}" xr6:coauthVersionLast="47" xr6:coauthVersionMax="47" xr10:uidLastSave="{00000000-0000-0000-0000-000000000000}"/>
  <bookViews>
    <workbookView xWindow="2970" yWindow="0" windowWidth="21600" windowHeight="15585" xr2:uid="{A800F9EC-16CA-48F2-BAA0-1698D983FDA8}"/>
  </bookViews>
  <sheets>
    <sheet name="Sheet1" sheetId="1" r:id="rId1"/>
    <sheet name="RES_1elem (2)" sheetId="11" r:id="rId2"/>
    <sheet name="step11_RESI" sheetId="9" r:id="rId3"/>
  </sheets>
  <definedNames>
    <definedName name="ExternalData_1" localSheetId="1" hidden="1">'RES_1elem (2)'!$A$1:$F$101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1" l="1"/>
  <c r="G2" i="11"/>
  <c r="G3" i="11"/>
  <c r="G4" i="11"/>
  <c r="G5" i="11"/>
  <c r="G6" i="11"/>
  <c r="G7" i="11"/>
  <c r="G8" i="11"/>
  <c r="G9" i="11"/>
  <c r="G10" i="11"/>
  <c r="G11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C4" i="9"/>
  <c r="C3" i="9"/>
  <c r="C2" i="9"/>
  <c r="F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D22" i="1"/>
  <c r="D23" i="1"/>
  <c r="D24" i="1"/>
  <c r="D25" i="1"/>
  <c r="D26" i="1"/>
  <c r="D27" i="1"/>
  <c r="F27" i="1" s="1"/>
  <c r="D28" i="1"/>
  <c r="D29" i="1"/>
  <c r="D30" i="1"/>
  <c r="F30" i="1" s="1"/>
  <c r="D31" i="1"/>
  <c r="F31" i="1" s="1"/>
  <c r="D32" i="1"/>
  <c r="F32" i="1" s="1"/>
  <c r="D33" i="1"/>
  <c r="D34" i="1"/>
  <c r="D35" i="1"/>
  <c r="D36" i="1"/>
  <c r="D37" i="1"/>
  <c r="D38" i="1"/>
  <c r="F38" i="1" s="1"/>
  <c r="D39" i="1"/>
  <c r="D40" i="1"/>
  <c r="D41" i="1"/>
  <c r="F41" i="1" s="1"/>
  <c r="D42" i="1"/>
  <c r="F42" i="1" s="1"/>
  <c r="D43" i="1"/>
  <c r="F43" i="1" s="1"/>
  <c r="D44" i="1"/>
  <c r="F44" i="1" s="1"/>
  <c r="D45" i="1"/>
  <c r="F45" i="1" s="1"/>
  <c r="D46" i="1"/>
  <c r="D47" i="1"/>
  <c r="D48" i="1"/>
  <c r="D49" i="1"/>
  <c r="D50" i="1"/>
  <c r="D51" i="1"/>
  <c r="D52" i="1"/>
  <c r="D53" i="1"/>
  <c r="F53" i="1" s="1"/>
  <c r="D54" i="1"/>
  <c r="F54" i="1" s="1"/>
  <c r="D55" i="1"/>
  <c r="F55" i="1" s="1"/>
  <c r="D56" i="1"/>
  <c r="F56" i="1" s="1"/>
  <c r="D57" i="1"/>
  <c r="D58" i="1"/>
  <c r="D59" i="1"/>
  <c r="D60" i="1"/>
  <c r="D61" i="1"/>
  <c r="D62" i="1"/>
  <c r="F62" i="1" s="1"/>
  <c r="D63" i="1"/>
  <c r="F63" i="1" s="1"/>
  <c r="D64" i="1"/>
  <c r="D65" i="1"/>
  <c r="F65" i="1" s="1"/>
  <c r="D66" i="1"/>
  <c r="F66" i="1" s="1"/>
  <c r="D67" i="1"/>
  <c r="F67" i="1" s="1"/>
  <c r="D68" i="1"/>
  <c r="D69" i="1"/>
  <c r="F69" i="1" s="1"/>
  <c r="D70" i="1"/>
  <c r="D71" i="1"/>
  <c r="D72" i="1"/>
  <c r="D73" i="1"/>
  <c r="D74" i="1"/>
  <c r="D75" i="1"/>
  <c r="D76" i="1"/>
  <c r="D77" i="1"/>
  <c r="F77" i="1" s="1"/>
  <c r="D78" i="1"/>
  <c r="F78" i="1" s="1"/>
  <c r="D79" i="1"/>
  <c r="F79" i="1" s="1"/>
  <c r="D80" i="1"/>
  <c r="F80" i="1" s="1"/>
  <c r="D81" i="1"/>
  <c r="F81" i="1" s="1"/>
  <c r="D82" i="1"/>
  <c r="D83" i="1"/>
  <c r="D84" i="1"/>
  <c r="D85" i="1"/>
  <c r="D86" i="1"/>
  <c r="F86" i="1" s="1"/>
  <c r="D87" i="1"/>
  <c r="F87" i="1" s="1"/>
  <c r="D88" i="1"/>
  <c r="D89" i="1"/>
  <c r="D90" i="1"/>
  <c r="F90" i="1" s="1"/>
  <c r="D91" i="1"/>
  <c r="F91" i="1" s="1"/>
  <c r="D92" i="1"/>
  <c r="F92" i="1" s="1"/>
  <c r="D93" i="1"/>
  <c r="F93" i="1" s="1"/>
  <c r="D94" i="1"/>
  <c r="D95" i="1"/>
  <c r="D96" i="1"/>
  <c r="D97" i="1"/>
  <c r="D98" i="1"/>
  <c r="D99" i="1"/>
  <c r="F99" i="1" s="1"/>
  <c r="D100" i="1"/>
  <c r="D101" i="1"/>
  <c r="F101" i="1" s="1"/>
  <c r="D102" i="1"/>
  <c r="D103" i="1"/>
  <c r="F103" i="1" s="1"/>
  <c r="D4" i="1"/>
  <c r="C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H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F22" i="1"/>
  <c r="F25" i="1"/>
  <c r="F26" i="1"/>
  <c r="F28" i="1"/>
  <c r="F29" i="1"/>
  <c r="F34" i="1"/>
  <c r="F35" i="1"/>
  <c r="F36" i="1"/>
  <c r="F37" i="1"/>
  <c r="F40" i="1"/>
  <c r="F46" i="1"/>
  <c r="F47" i="1"/>
  <c r="F49" i="1"/>
  <c r="F52" i="1"/>
  <c r="F58" i="1"/>
  <c r="F59" i="1"/>
  <c r="F60" i="1"/>
  <c r="F61" i="1"/>
  <c r="F64" i="1"/>
  <c r="F70" i="1"/>
  <c r="F73" i="1"/>
  <c r="F76" i="1"/>
  <c r="F82" i="1"/>
  <c r="F83" i="1"/>
  <c r="F84" i="1"/>
  <c r="F85" i="1"/>
  <c r="F88" i="1"/>
  <c r="F94" i="1"/>
  <c r="F95" i="1"/>
  <c r="F96" i="1"/>
  <c r="F97" i="1"/>
  <c r="F100" i="1"/>
  <c r="E3" i="1"/>
  <c r="F89" i="1" l="1"/>
  <c r="F48" i="1"/>
  <c r="F98" i="1"/>
  <c r="F72" i="1"/>
  <c r="F33" i="1"/>
  <c r="F39" i="1"/>
  <c r="F102" i="1"/>
  <c r="F68" i="1"/>
  <c r="F57" i="1"/>
  <c r="F75" i="1"/>
  <c r="F74" i="1"/>
  <c r="F71" i="1"/>
  <c r="F51" i="1"/>
  <c r="F24" i="1"/>
  <c r="F50" i="1"/>
  <c r="F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19789A-98E0-4571-A178-1A733C1E99D7}" keepAlive="1" name="クエリ - DIS_1elem" description="ブック内の 'DIS_1elem' クエリへの接続です。" type="5" refreshedVersion="0" background="1">
    <dbPr connection="Provider=Microsoft.Mashup.OleDb.1;Data Source=$Workbook$;Location=DIS_1elem;Extended Properties=&quot;&quot;" command="SELECT * FROM [DIS_1elem]"/>
  </connection>
  <connection id="2" xr16:uid="{5BBE17CC-478F-4B8B-9E20-D7BBD360D7E6}" keepAlive="1" name="クエリ - RES_1elem" description="ブック内の 'RES_1elem' クエリへの接続です。" type="5" refreshedVersion="0" background="1">
    <dbPr connection="Provider=Microsoft.Mashup.OleDb.1;Data Source=$Workbook$;Location=RES_1elem;Extended Properties=&quot;&quot;" command="SELECT * FROM [RES_1elem]"/>
  </connection>
  <connection id="3" xr16:uid="{744C9BA7-BF78-4D48-99FD-BFE0083E54ED}" keepAlive="1" name="クエリ - RES_1elem (2)" description="ブック内の 'RES_1elem (2)' クエリへの接続です。" type="5" refreshedVersion="8" background="1" saveData="1">
    <dbPr connection="Provider=Microsoft.Mashup.OleDb.1;Data Source=$Workbook$;Location=&quot;RES_1elem (2)&quot;;Extended Properties=&quot;&quot;" command="SELECT * FROM [RES_1elem (2)]"/>
  </connection>
  <connection id="4" xr16:uid="{3CAD65B4-AD41-4EF7-98FD-D014381EB7AC}" keepAlive="1" name="クエリ - RES_1elem_extracted" description="ブック内の 'RES_1elem_extracted' クエリへの接続です。" type="5" refreshedVersion="0" background="1">
    <dbPr connection="Provider=Microsoft.Mashup.OleDb.1;Data Source=$Workbook$;Location=RES_1elem_extracted;Extended Properties=&quot;&quot;" command="SELECT * FROM [RES_1elem_extracted]"/>
  </connection>
</connections>
</file>

<file path=xl/sharedStrings.xml><?xml version="1.0" encoding="utf-8"?>
<sst xmlns="http://schemas.openxmlformats.org/spreadsheetml/2006/main" count="37" uniqueCount="29">
  <si>
    <t>sigma_y_0</t>
    <phoneticPr fontId="1"/>
  </si>
  <si>
    <t>H</t>
    <phoneticPr fontId="1"/>
  </si>
  <si>
    <t>yield stress</t>
    <phoneticPr fontId="1"/>
  </si>
  <si>
    <t>voce</t>
    <phoneticPr fontId="1"/>
  </si>
  <si>
    <t>sigma_y_inf</t>
    <phoneticPr fontId="1"/>
  </si>
  <si>
    <t>仮値．ひずみ0.01に対して応力の最大が塑性なしで2GPa</t>
    <rPh sb="0" eb="1">
      <t>カリ</t>
    </rPh>
    <rPh sb="1" eb="2">
      <t>チ</t>
    </rPh>
    <rPh sb="11" eb="12">
      <t>タイ</t>
    </rPh>
    <rPh sb="14" eb="16">
      <t>オウリョク</t>
    </rPh>
    <rPh sb="17" eb="19">
      <t>サイダイ</t>
    </rPh>
    <rPh sb="20" eb="22">
      <t>ソセイ</t>
    </rPh>
    <phoneticPr fontId="1"/>
  </si>
  <si>
    <t>delta</t>
    <phoneticPr fontId="1"/>
  </si>
  <si>
    <t>swift</t>
    <phoneticPr fontId="1"/>
  </si>
  <si>
    <t>C2</t>
    <phoneticPr fontId="1"/>
  </si>
  <si>
    <t>MPa</t>
    <phoneticPr fontId="1"/>
  </si>
  <si>
    <t>サマースクールp169</t>
    <phoneticPr fontId="1"/>
  </si>
  <si>
    <t>epsilon_0</t>
    <phoneticPr fontId="1"/>
  </si>
  <si>
    <t>n_2</t>
    <phoneticPr fontId="1"/>
  </si>
  <si>
    <t>サマースクールp169,sigma_y_0が200になるように値を調整</t>
    <rPh sb="31" eb="32">
      <t>アタイ</t>
    </rPh>
    <rPh sb="33" eb="35">
      <t>チョウセイ</t>
    </rPh>
    <phoneticPr fontId="1"/>
  </si>
  <si>
    <t>epsilon</t>
    <phoneticPr fontId="1"/>
  </si>
  <si>
    <t>E</t>
    <phoneticPr fontId="1"/>
  </si>
  <si>
    <t>stress</t>
    <phoneticPr fontId="1"/>
  </si>
  <si>
    <t>strain</t>
    <phoneticPr fontId="1"/>
  </si>
  <si>
    <t>理論値linear</t>
    <rPh sb="0" eb="3">
      <t>リロンチ</t>
    </rPh>
    <phoneticPr fontId="1"/>
  </si>
  <si>
    <t>プログラムlinear</t>
    <phoneticPr fontId="1"/>
  </si>
  <si>
    <t>step</t>
  </si>
  <si>
    <t>element</t>
  </si>
  <si>
    <t>von</t>
  </si>
  <si>
    <t>RESIDUAL</t>
  </si>
  <si>
    <t>yystress</t>
  </si>
  <si>
    <t>yystrain</t>
  </si>
  <si>
    <t>ここで塑性域入った</t>
    <rPh sb="3" eb="6">
      <t>ソセイイキ</t>
    </rPh>
    <rPh sb="6" eb="7">
      <t>ハイ</t>
    </rPh>
    <phoneticPr fontId="1"/>
  </si>
  <si>
    <t>yystrain-eps</t>
    <phoneticPr fontId="1"/>
  </si>
  <si>
    <t>eps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</si>
</sst>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E+00"/>
    <numFmt numFmtId="181" formatCode="0.00.E+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79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理論値linear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Sheet1!$D$3:$D$103</c:f>
              <c:numCache>
                <c:formatCode>General</c:formatCode>
                <c:ptCount val="101"/>
                <c:pt idx="0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2.9999999999999997E-4</c:v>
                </c:pt>
                <c:pt idx="4">
                  <c:v>4.0000000000000002E-4</c:v>
                </c:pt>
                <c:pt idx="5">
                  <c:v>5.0000000000000001E-4</c:v>
                </c:pt>
                <c:pt idx="6">
                  <c:v>5.9999999999999995E-4</c:v>
                </c:pt>
                <c:pt idx="7">
                  <c:v>6.9999999999999999E-4</c:v>
                </c:pt>
                <c:pt idx="8">
                  <c:v>8.0000000000000004E-4</c:v>
                </c:pt>
                <c:pt idx="9">
                  <c:v>8.9999999999999998E-4</c:v>
                </c:pt>
                <c:pt idx="10">
                  <c:v>1E-3</c:v>
                </c:pt>
                <c:pt idx="11">
                  <c:v>1.1000000000000001E-3</c:v>
                </c:pt>
                <c:pt idx="12">
                  <c:v>1.1999999999999999E-3</c:v>
                </c:pt>
                <c:pt idx="13">
                  <c:v>1.2999999999999999E-3</c:v>
                </c:pt>
                <c:pt idx="14">
                  <c:v>1.4E-3</c:v>
                </c:pt>
                <c:pt idx="15">
                  <c:v>1.5E-3</c:v>
                </c:pt>
                <c:pt idx="16">
                  <c:v>1.6000000000000001E-3</c:v>
                </c:pt>
                <c:pt idx="17">
                  <c:v>1.6999999999999999E-3</c:v>
                </c:pt>
                <c:pt idx="18">
                  <c:v>1.8E-3</c:v>
                </c:pt>
                <c:pt idx="19">
                  <c:v>1.9E-3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2.2000000000000001E-3</c:v>
                </c:pt>
                <c:pt idx="23">
                  <c:v>2.3E-3</c:v>
                </c:pt>
                <c:pt idx="24">
                  <c:v>2.3999999999999998E-3</c:v>
                </c:pt>
                <c:pt idx="25">
                  <c:v>2.5000000000000001E-3</c:v>
                </c:pt>
                <c:pt idx="26">
                  <c:v>2.5999999999999999E-3</c:v>
                </c:pt>
                <c:pt idx="27">
                  <c:v>2.7000000000000001E-3</c:v>
                </c:pt>
                <c:pt idx="28">
                  <c:v>2.8E-3</c:v>
                </c:pt>
                <c:pt idx="29">
                  <c:v>2.8999999999999998E-3</c:v>
                </c:pt>
                <c:pt idx="30">
                  <c:v>3.0000000000000001E-3</c:v>
                </c:pt>
                <c:pt idx="31">
                  <c:v>3.0999999999999999E-3</c:v>
                </c:pt>
                <c:pt idx="32">
                  <c:v>3.2000000000000002E-3</c:v>
                </c:pt>
                <c:pt idx="33">
                  <c:v>3.3E-3</c:v>
                </c:pt>
                <c:pt idx="34">
                  <c:v>3.3999999999999998E-3</c:v>
                </c:pt>
                <c:pt idx="35">
                  <c:v>3.5000000000000001E-3</c:v>
                </c:pt>
                <c:pt idx="36">
                  <c:v>3.5999999999999999E-3</c:v>
                </c:pt>
                <c:pt idx="37">
                  <c:v>3.7000000000000002E-3</c:v>
                </c:pt>
                <c:pt idx="38">
                  <c:v>3.8E-3</c:v>
                </c:pt>
                <c:pt idx="39">
                  <c:v>3.8999999999999998E-3</c:v>
                </c:pt>
                <c:pt idx="40">
                  <c:v>4.0000000000000001E-3</c:v>
                </c:pt>
                <c:pt idx="41">
                  <c:v>4.1000000000000003E-3</c:v>
                </c:pt>
                <c:pt idx="42">
                  <c:v>4.1999999999999997E-3</c:v>
                </c:pt>
                <c:pt idx="43">
                  <c:v>4.3E-3</c:v>
                </c:pt>
                <c:pt idx="44">
                  <c:v>4.4000000000000003E-3</c:v>
                </c:pt>
                <c:pt idx="45">
                  <c:v>4.4999999999999997E-3</c:v>
                </c:pt>
                <c:pt idx="46">
                  <c:v>4.5999999999999999E-3</c:v>
                </c:pt>
                <c:pt idx="47">
                  <c:v>4.7000000000000002E-3</c:v>
                </c:pt>
                <c:pt idx="48">
                  <c:v>4.7999999999999996E-3</c:v>
                </c:pt>
                <c:pt idx="49">
                  <c:v>4.8999999999999998E-3</c:v>
                </c:pt>
                <c:pt idx="50">
                  <c:v>5.0000000000000001E-3</c:v>
                </c:pt>
                <c:pt idx="51">
                  <c:v>5.1000000000000004E-3</c:v>
                </c:pt>
                <c:pt idx="52">
                  <c:v>5.1999999999999998E-3</c:v>
                </c:pt>
                <c:pt idx="53">
                  <c:v>5.3E-3</c:v>
                </c:pt>
                <c:pt idx="54">
                  <c:v>5.4000000000000003E-3</c:v>
                </c:pt>
                <c:pt idx="55">
                  <c:v>5.4999999999999997E-3</c:v>
                </c:pt>
                <c:pt idx="56">
                  <c:v>5.5999999999999999E-3</c:v>
                </c:pt>
                <c:pt idx="57">
                  <c:v>5.7000000000000002E-3</c:v>
                </c:pt>
                <c:pt idx="58">
                  <c:v>5.7999999999999996E-3</c:v>
                </c:pt>
                <c:pt idx="59">
                  <c:v>5.8999999999999999E-3</c:v>
                </c:pt>
                <c:pt idx="60">
                  <c:v>6.0000000000000001E-3</c:v>
                </c:pt>
                <c:pt idx="61">
                  <c:v>6.1000000000000004E-3</c:v>
                </c:pt>
                <c:pt idx="62">
                  <c:v>6.1999999999999998E-3</c:v>
                </c:pt>
                <c:pt idx="63">
                  <c:v>6.3E-3</c:v>
                </c:pt>
                <c:pt idx="64">
                  <c:v>6.4000000000000003E-3</c:v>
                </c:pt>
                <c:pt idx="65">
                  <c:v>6.4999999999999997E-3</c:v>
                </c:pt>
                <c:pt idx="66">
                  <c:v>6.6E-3</c:v>
                </c:pt>
                <c:pt idx="67">
                  <c:v>6.7000000000000002E-3</c:v>
                </c:pt>
                <c:pt idx="68">
                  <c:v>6.7999999999999996E-3</c:v>
                </c:pt>
                <c:pt idx="69">
                  <c:v>6.8999999999999999E-3</c:v>
                </c:pt>
                <c:pt idx="70">
                  <c:v>7.0000000000000001E-3</c:v>
                </c:pt>
                <c:pt idx="71">
                  <c:v>7.1000000000000004E-3</c:v>
                </c:pt>
                <c:pt idx="72">
                  <c:v>7.1999999999999998E-3</c:v>
                </c:pt>
                <c:pt idx="73">
                  <c:v>7.3000000000000001E-3</c:v>
                </c:pt>
                <c:pt idx="74">
                  <c:v>7.4000000000000003E-3</c:v>
                </c:pt>
                <c:pt idx="75">
                  <c:v>7.4999999999999997E-3</c:v>
                </c:pt>
                <c:pt idx="76">
                  <c:v>7.6E-3</c:v>
                </c:pt>
                <c:pt idx="77">
                  <c:v>7.7000000000000002E-3</c:v>
                </c:pt>
                <c:pt idx="78">
                  <c:v>7.7999999999999996E-3</c:v>
                </c:pt>
                <c:pt idx="79">
                  <c:v>7.9000000000000008E-3</c:v>
                </c:pt>
                <c:pt idx="80">
                  <c:v>8.0000000000000002E-3</c:v>
                </c:pt>
                <c:pt idx="81">
                  <c:v>8.0999999999999996E-3</c:v>
                </c:pt>
                <c:pt idx="82">
                  <c:v>8.2000000000000007E-3</c:v>
                </c:pt>
                <c:pt idx="83">
                  <c:v>8.3000000000000001E-3</c:v>
                </c:pt>
                <c:pt idx="84">
                  <c:v>8.3999999999999995E-3</c:v>
                </c:pt>
                <c:pt idx="85">
                  <c:v>8.5000000000000006E-3</c:v>
                </c:pt>
                <c:pt idx="86">
                  <c:v>8.6E-3</c:v>
                </c:pt>
                <c:pt idx="87">
                  <c:v>8.6999999999999994E-3</c:v>
                </c:pt>
                <c:pt idx="88">
                  <c:v>8.8000000000000005E-3</c:v>
                </c:pt>
                <c:pt idx="89">
                  <c:v>8.8999999999999999E-3</c:v>
                </c:pt>
                <c:pt idx="90">
                  <c:v>8.9999999999999993E-3</c:v>
                </c:pt>
                <c:pt idx="91">
                  <c:v>9.1000000000000004E-3</c:v>
                </c:pt>
                <c:pt idx="92">
                  <c:v>9.1999999999999998E-3</c:v>
                </c:pt>
                <c:pt idx="93">
                  <c:v>9.2999999999999992E-3</c:v>
                </c:pt>
                <c:pt idx="94">
                  <c:v>9.4000000000000004E-3</c:v>
                </c:pt>
                <c:pt idx="95">
                  <c:v>9.4999999999999998E-3</c:v>
                </c:pt>
                <c:pt idx="96">
                  <c:v>9.5999999999999992E-3</c:v>
                </c:pt>
                <c:pt idx="97">
                  <c:v>9.7000000000000003E-3</c:v>
                </c:pt>
                <c:pt idx="98">
                  <c:v>9.7999999999999997E-3</c:v>
                </c:pt>
                <c:pt idx="99">
                  <c:v>9.9000000000000008E-3</c:v>
                </c:pt>
                <c:pt idx="100">
                  <c:v>0.01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4-4324-A0AB-9F973FE4C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367663"/>
        <c:axId val="77436478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理論値Voce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Sheet1!$F$3:$F$103</c15:sqref>
                        </c15:formulaRef>
                      </c:ext>
                    </c:extLst>
                    <c:numCache>
                      <c:formatCode>0.00E+00</c:formatCode>
                      <c:ptCount val="1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 formatCode="0.00.E+00">
                        <c:v>0</c:v>
                      </c:pt>
                      <c:pt idx="20" formatCode="0.00.E+00">
                        <c:v>0</c:v>
                      </c:pt>
                      <c:pt idx="21" formatCode="0.00.E+00">
                        <c:v>0</c:v>
                      </c:pt>
                      <c:pt idx="22" formatCode="0.00.E+00">
                        <c:v>0</c:v>
                      </c:pt>
                      <c:pt idx="23" formatCode="0.00.E+00">
                        <c:v>0</c:v>
                      </c:pt>
                      <c:pt idx="24" formatCode="0.00.E+00">
                        <c:v>0</c:v>
                      </c:pt>
                      <c:pt idx="25" formatCode="0.00.E+00">
                        <c:v>0</c:v>
                      </c:pt>
                      <c:pt idx="26" formatCode="0.00.E+00">
                        <c:v>0</c:v>
                      </c:pt>
                      <c:pt idx="27" formatCode="0.00.E+00">
                        <c:v>0</c:v>
                      </c:pt>
                      <c:pt idx="28" formatCode="0.00.E+00">
                        <c:v>0</c:v>
                      </c:pt>
                      <c:pt idx="29" formatCode="0.00.E+00">
                        <c:v>0</c:v>
                      </c:pt>
                      <c:pt idx="30" formatCode="0.00.E+00">
                        <c:v>0</c:v>
                      </c:pt>
                      <c:pt idx="31" formatCode="0.00.E+00">
                        <c:v>0</c:v>
                      </c:pt>
                      <c:pt idx="32" formatCode="0.00.E+00">
                        <c:v>0</c:v>
                      </c:pt>
                      <c:pt idx="33" formatCode="0.00.E+00">
                        <c:v>0</c:v>
                      </c:pt>
                      <c:pt idx="34" formatCode="0.00.E+00">
                        <c:v>0</c:v>
                      </c:pt>
                      <c:pt idx="35" formatCode="0.00.E+00">
                        <c:v>0</c:v>
                      </c:pt>
                      <c:pt idx="36" formatCode="0.00.E+00">
                        <c:v>0</c:v>
                      </c:pt>
                      <c:pt idx="37" formatCode="0.00.E+00">
                        <c:v>0</c:v>
                      </c:pt>
                      <c:pt idx="38" formatCode="0.00.E+00">
                        <c:v>0</c:v>
                      </c:pt>
                      <c:pt idx="39" formatCode="0.00.E+00">
                        <c:v>0</c:v>
                      </c:pt>
                      <c:pt idx="40" formatCode="0.00.E+00">
                        <c:v>0</c:v>
                      </c:pt>
                      <c:pt idx="41" formatCode="0.00.E+00">
                        <c:v>0</c:v>
                      </c:pt>
                      <c:pt idx="42" formatCode="0.00.E+00">
                        <c:v>0</c:v>
                      </c:pt>
                      <c:pt idx="43" formatCode="0.00.E+00">
                        <c:v>0</c:v>
                      </c:pt>
                      <c:pt idx="44" formatCode="0.00.E+00">
                        <c:v>0</c:v>
                      </c:pt>
                      <c:pt idx="45" formatCode="0.00.E+00">
                        <c:v>0</c:v>
                      </c:pt>
                      <c:pt idx="46" formatCode="0.00.E+00">
                        <c:v>0</c:v>
                      </c:pt>
                      <c:pt idx="47" formatCode="0.00.E+00">
                        <c:v>0</c:v>
                      </c:pt>
                      <c:pt idx="48" formatCode="0.00.E+00">
                        <c:v>0</c:v>
                      </c:pt>
                      <c:pt idx="49" formatCode="0.00.E+00">
                        <c:v>0</c:v>
                      </c:pt>
                      <c:pt idx="50" formatCode="0.00.E+00">
                        <c:v>0</c:v>
                      </c:pt>
                      <c:pt idx="51" formatCode="0.00.E+00">
                        <c:v>0</c:v>
                      </c:pt>
                      <c:pt idx="52" formatCode="0.00.E+00">
                        <c:v>0</c:v>
                      </c:pt>
                      <c:pt idx="53" formatCode="0.00.E+00">
                        <c:v>0</c:v>
                      </c:pt>
                      <c:pt idx="54" formatCode="0.00.E+00">
                        <c:v>0</c:v>
                      </c:pt>
                      <c:pt idx="55" formatCode="0.00.E+00">
                        <c:v>0</c:v>
                      </c:pt>
                      <c:pt idx="56" formatCode="0.00.E+00">
                        <c:v>0</c:v>
                      </c:pt>
                      <c:pt idx="57" formatCode="0.00.E+00">
                        <c:v>0</c:v>
                      </c:pt>
                      <c:pt idx="58" formatCode="0.00.E+00">
                        <c:v>0</c:v>
                      </c:pt>
                      <c:pt idx="59" formatCode="0.00.E+00">
                        <c:v>0</c:v>
                      </c:pt>
                      <c:pt idx="60" formatCode="0.00.E+00">
                        <c:v>0</c:v>
                      </c:pt>
                      <c:pt idx="61" formatCode="0.00.E+00">
                        <c:v>0</c:v>
                      </c:pt>
                      <c:pt idx="62" formatCode="0.00.E+00">
                        <c:v>0</c:v>
                      </c:pt>
                      <c:pt idx="63" formatCode="0.00.E+00">
                        <c:v>0</c:v>
                      </c:pt>
                      <c:pt idx="64" formatCode="0.00.E+00">
                        <c:v>0</c:v>
                      </c:pt>
                      <c:pt idx="65" formatCode="0.00.E+00">
                        <c:v>0</c:v>
                      </c:pt>
                      <c:pt idx="66" formatCode="0.00.E+00">
                        <c:v>0</c:v>
                      </c:pt>
                      <c:pt idx="67" formatCode="0.00.E+00">
                        <c:v>0</c:v>
                      </c:pt>
                      <c:pt idx="68" formatCode="0.00.E+00">
                        <c:v>0</c:v>
                      </c:pt>
                      <c:pt idx="69" formatCode="0.00.E+00">
                        <c:v>0</c:v>
                      </c:pt>
                      <c:pt idx="70" formatCode="0.00.E+00">
                        <c:v>0</c:v>
                      </c:pt>
                      <c:pt idx="71" formatCode="0.00.E+00">
                        <c:v>0</c:v>
                      </c:pt>
                      <c:pt idx="72" formatCode="0.00.E+00">
                        <c:v>0</c:v>
                      </c:pt>
                      <c:pt idx="73" formatCode="0.00.E+00">
                        <c:v>0</c:v>
                      </c:pt>
                      <c:pt idx="74" formatCode="0.00.E+00">
                        <c:v>0</c:v>
                      </c:pt>
                      <c:pt idx="75" formatCode="0.00.E+00">
                        <c:v>0</c:v>
                      </c:pt>
                      <c:pt idx="76" formatCode="0.00.E+00">
                        <c:v>0</c:v>
                      </c:pt>
                      <c:pt idx="77" formatCode="0.00.E+00">
                        <c:v>0</c:v>
                      </c:pt>
                      <c:pt idx="78" formatCode="0.00.E+00">
                        <c:v>0</c:v>
                      </c:pt>
                      <c:pt idx="79" formatCode="0.00.E+00">
                        <c:v>0</c:v>
                      </c:pt>
                      <c:pt idx="80" formatCode="0.00.E+00">
                        <c:v>0</c:v>
                      </c:pt>
                      <c:pt idx="81" formatCode="0.00.E+00">
                        <c:v>0</c:v>
                      </c:pt>
                      <c:pt idx="82" formatCode="0.00.E+00">
                        <c:v>0</c:v>
                      </c:pt>
                      <c:pt idx="83" formatCode="0.00.E+00">
                        <c:v>0</c:v>
                      </c:pt>
                      <c:pt idx="84" formatCode="0.00.E+00">
                        <c:v>0</c:v>
                      </c:pt>
                      <c:pt idx="85" formatCode="0.00.E+00">
                        <c:v>0</c:v>
                      </c:pt>
                      <c:pt idx="86" formatCode="0.00.E+00">
                        <c:v>0</c:v>
                      </c:pt>
                      <c:pt idx="87" formatCode="0.00.E+00">
                        <c:v>0</c:v>
                      </c:pt>
                      <c:pt idx="88" formatCode="0.00.E+00">
                        <c:v>0</c:v>
                      </c:pt>
                      <c:pt idx="89" formatCode="0.00.E+00">
                        <c:v>0</c:v>
                      </c:pt>
                      <c:pt idx="90" formatCode="0.00.E+00">
                        <c:v>0</c:v>
                      </c:pt>
                      <c:pt idx="91" formatCode="0.00.E+00">
                        <c:v>0</c:v>
                      </c:pt>
                      <c:pt idx="92" formatCode="0.00.E+00">
                        <c:v>0</c:v>
                      </c:pt>
                      <c:pt idx="93" formatCode="0.00.E+00">
                        <c:v>0</c:v>
                      </c:pt>
                      <c:pt idx="94" formatCode="0.00.E+00">
                        <c:v>0</c:v>
                      </c:pt>
                      <c:pt idx="95" formatCode="0.00.E+00">
                        <c:v>0</c:v>
                      </c:pt>
                      <c:pt idx="96" formatCode="0.00.E+00">
                        <c:v>0</c:v>
                      </c:pt>
                      <c:pt idx="97" formatCode="0.00.E+00">
                        <c:v>0</c:v>
                      </c:pt>
                      <c:pt idx="98" formatCode="0.00.E+00">
                        <c:v>0</c:v>
                      </c:pt>
                      <c:pt idx="99" formatCode="0.00.E+00">
                        <c:v>0</c:v>
                      </c:pt>
                      <c:pt idx="100" formatCode="0.00.E+0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7E4-4324-A0AB-9F973FE4C48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理論値swift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Sheet1!$G$3:$G$103</c15:sqref>
                        </c15:formulaRef>
                      </c:ext>
                    </c:extLst>
                    <c:numCache>
                      <c:formatCode>0.00.E+00</c:formatCode>
                      <c:ptCount val="101"/>
                      <c:pt idx="0">
                        <c:v>200</c:v>
                      </c:pt>
                      <c:pt idx="1">
                        <c:v>201.2998500499875</c:v>
                      </c:pt>
                      <c:pt idx="2">
                        <c:v>202.59940039980009</c:v>
                      </c:pt>
                      <c:pt idx="3">
                        <c:v>203.8986513489881</c:v>
                      </c:pt>
                      <c:pt idx="4">
                        <c:v>205.19760319680256</c:v>
                      </c:pt>
                      <c:pt idx="5">
                        <c:v>206.4962562421953</c:v>
                      </c:pt>
                      <c:pt idx="6">
                        <c:v>207.79461078381942</c:v>
                      </c:pt>
                      <c:pt idx="7">
                        <c:v>209.09266712002946</c:v>
                      </c:pt>
                      <c:pt idx="8">
                        <c:v>210.39042554888181</c:v>
                      </c:pt>
                      <c:pt idx="9">
                        <c:v>211.68788636813491</c:v>
                      </c:pt>
                      <c:pt idx="10">
                        <c:v>212.98504987524956</c:v>
                      </c:pt>
                      <c:pt idx="11">
                        <c:v>214.28191636738939</c:v>
                      </c:pt>
                      <c:pt idx="12">
                        <c:v>215.57848614142085</c:v>
                      </c:pt>
                      <c:pt idx="13">
                        <c:v>216.87475949391373</c:v>
                      </c:pt>
                      <c:pt idx="14">
                        <c:v>218.17073672114142</c:v>
                      </c:pt>
                      <c:pt idx="15">
                        <c:v>219.4664181190812</c:v>
                      </c:pt>
                      <c:pt idx="16">
                        <c:v>220.76180398341447</c:v>
                      </c:pt>
                      <c:pt idx="17">
                        <c:v>222.05689460952712</c:v>
                      </c:pt>
                      <c:pt idx="18">
                        <c:v>223.35169029250977</c:v>
                      </c:pt>
                      <c:pt idx="19">
                        <c:v>224.64619132715819</c:v>
                      </c:pt>
                      <c:pt idx="20">
                        <c:v>225.94039800797341</c:v>
                      </c:pt>
                      <c:pt idx="21">
                        <c:v>227.23431062916214</c:v>
                      </c:pt>
                      <c:pt idx="22">
                        <c:v>228.52792948463699</c:v>
                      </c:pt>
                      <c:pt idx="23">
                        <c:v>229.82125486801687</c:v>
                      </c:pt>
                      <c:pt idx="24">
                        <c:v>231.11428707262721</c:v>
                      </c:pt>
                      <c:pt idx="25">
                        <c:v>232.40702639150021</c:v>
                      </c:pt>
                      <c:pt idx="26">
                        <c:v>233.69947311737519</c:v>
                      </c:pt>
                      <c:pt idx="27">
                        <c:v>234.99162754269895</c:v>
                      </c:pt>
                      <c:pt idx="28">
                        <c:v>236.28348995962594</c:v>
                      </c:pt>
                      <c:pt idx="29">
                        <c:v>237.57506066001855</c:v>
                      </c:pt>
                      <c:pt idx="30">
                        <c:v>238.86633993544754</c:v>
                      </c:pt>
                      <c:pt idx="31">
                        <c:v>240.1573280771922</c:v>
                      </c:pt>
                      <c:pt idx="32">
                        <c:v>241.44802537624071</c:v>
                      </c:pt>
                      <c:pt idx="33">
                        <c:v>242.73843212329041</c:v>
                      </c:pt>
                      <c:pt idx="34">
                        <c:v>244.028548608748</c:v>
                      </c:pt>
                      <c:pt idx="35">
                        <c:v>245.31837512273006</c:v>
                      </c:pt>
                      <c:pt idx="36">
                        <c:v>246.60791195506309</c:v>
                      </c:pt>
                      <c:pt idx="37">
                        <c:v>247.89715939528395</c:v>
                      </c:pt>
                      <c:pt idx="38">
                        <c:v>249.18611773264016</c:v>
                      </c:pt>
                      <c:pt idx="39">
                        <c:v>250.47478725608997</c:v>
                      </c:pt>
                      <c:pt idx="40">
                        <c:v>251.76316825430305</c:v>
                      </c:pt>
                      <c:pt idx="41">
                        <c:v>253.05126101566032</c:v>
                      </c:pt>
                      <c:pt idx="42">
                        <c:v>254.33906582825466</c:v>
                      </c:pt>
                      <c:pt idx="43">
                        <c:v>255.6265829798908</c:v>
                      </c:pt>
                      <c:pt idx="44">
                        <c:v>256.91381275808601</c:v>
                      </c:pt>
                      <c:pt idx="45">
                        <c:v>258.20075545007001</c:v>
                      </c:pt>
                      <c:pt idx="46">
                        <c:v>259.48741134278561</c:v>
                      </c:pt>
                      <c:pt idx="47">
                        <c:v>260.77378072288866</c:v>
                      </c:pt>
                      <c:pt idx="48">
                        <c:v>262.05986387674858</c:v>
                      </c:pt>
                      <c:pt idx="49">
                        <c:v>263.34566109044852</c:v>
                      </c:pt>
                      <c:pt idx="50">
                        <c:v>264.63117264978581</c:v>
                      </c:pt>
                      <c:pt idx="51">
                        <c:v>265.91639884027188</c:v>
                      </c:pt>
                      <c:pt idx="52">
                        <c:v>267.20133994713314</c:v>
                      </c:pt>
                      <c:pt idx="53">
                        <c:v>268.48599625531057</c:v>
                      </c:pt>
                      <c:pt idx="54">
                        <c:v>269.7703680494605</c:v>
                      </c:pt>
                      <c:pt idx="55">
                        <c:v>271.05445561395481</c:v>
                      </c:pt>
                      <c:pt idx="56">
                        <c:v>272.33825923288111</c:v>
                      </c:pt>
                      <c:pt idx="57">
                        <c:v>273.62177919004301</c:v>
                      </c:pt>
                      <c:pt idx="58">
                        <c:v>274.90501576896042</c:v>
                      </c:pt>
                      <c:pt idx="59">
                        <c:v>276.18796925287006</c:v>
                      </c:pt>
                      <c:pt idx="60">
                        <c:v>277.47063992472539</c:v>
                      </c:pt>
                      <c:pt idx="61">
                        <c:v>278.75302806719708</c:v>
                      </c:pt>
                      <c:pt idx="62">
                        <c:v>280.03513396267334</c:v>
                      </c:pt>
                      <c:pt idx="63">
                        <c:v>281.31695789326005</c:v>
                      </c:pt>
                      <c:pt idx="64">
                        <c:v>282.59850014078114</c:v>
                      </c:pt>
                      <c:pt idx="65">
                        <c:v>283.87976098677899</c:v>
                      </c:pt>
                      <c:pt idx="66">
                        <c:v>285.16074071251433</c:v>
                      </c:pt>
                      <c:pt idx="67">
                        <c:v>286.44143959896701</c:v>
                      </c:pt>
                      <c:pt idx="68">
                        <c:v>287.72185792683592</c:v>
                      </c:pt>
                      <c:pt idx="69">
                        <c:v>289.00199597653943</c:v>
                      </c:pt>
                      <c:pt idx="70">
                        <c:v>290.28185402821555</c:v>
                      </c:pt>
                      <c:pt idx="71">
                        <c:v>291.56143236172238</c:v>
                      </c:pt>
                      <c:pt idx="72">
                        <c:v>292.84073125663826</c:v>
                      </c:pt>
                      <c:pt idx="73">
                        <c:v>294.1197509922622</c:v>
                      </c:pt>
                      <c:pt idx="74">
                        <c:v>295.39849184761385</c:v>
                      </c:pt>
                      <c:pt idx="75">
                        <c:v>296.67695410143415</c:v>
                      </c:pt>
                      <c:pt idx="76">
                        <c:v>297.95513803218535</c:v>
                      </c:pt>
                      <c:pt idx="77">
                        <c:v>299.23304391805141</c:v>
                      </c:pt>
                      <c:pt idx="78">
                        <c:v>300.51067203693822</c:v>
                      </c:pt>
                      <c:pt idx="79">
                        <c:v>301.78802266647398</c:v>
                      </c:pt>
                      <c:pt idx="80">
                        <c:v>303.06509608400927</c:v>
                      </c:pt>
                      <c:pt idx="81">
                        <c:v>304.34189256661756</c:v>
                      </c:pt>
                      <c:pt idx="82">
                        <c:v>305.61841239109538</c:v>
                      </c:pt>
                      <c:pt idx="83">
                        <c:v>306.89465583396259</c:v>
                      </c:pt>
                      <c:pt idx="84">
                        <c:v>308.17062317146258</c:v>
                      </c:pt>
                      <c:pt idx="85">
                        <c:v>309.44631467956276</c:v>
                      </c:pt>
                      <c:pt idx="86">
                        <c:v>310.72173063395473</c:v>
                      </c:pt>
                      <c:pt idx="87">
                        <c:v>311.9968713100543</c:v>
                      </c:pt>
                      <c:pt idx="88">
                        <c:v>313.27173698300231</c:v>
                      </c:pt>
                      <c:pt idx="89">
                        <c:v>314.54632792766444</c:v>
                      </c:pt>
                      <c:pt idx="90">
                        <c:v>315.82064441863156</c:v>
                      </c:pt>
                      <c:pt idx="91">
                        <c:v>317.09468673022025</c:v>
                      </c:pt>
                      <c:pt idx="92">
                        <c:v>318.3684551364729</c:v>
                      </c:pt>
                      <c:pt idx="93">
                        <c:v>319.64194991115784</c:v>
                      </c:pt>
                      <c:pt idx="94">
                        <c:v>320.91517132776988</c:v>
                      </c:pt>
                      <c:pt idx="95">
                        <c:v>322.18811965953057</c:v>
                      </c:pt>
                      <c:pt idx="96">
                        <c:v>323.46079517938813</c:v>
                      </c:pt>
                      <c:pt idx="97">
                        <c:v>324.73319816001822</c:v>
                      </c:pt>
                      <c:pt idx="98">
                        <c:v>326.00532887382371</c:v>
                      </c:pt>
                      <c:pt idx="99">
                        <c:v>327.27718759293543</c:v>
                      </c:pt>
                      <c:pt idx="100">
                        <c:v>328.54877458921214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57E4-4324-A0AB-9F973FE4C48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プログラムlinear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Sheet1!$E$3:$E$22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</c:v>
                      </c:pt>
                      <c:pt idx="1">
                        <c:v>201</c:v>
                      </c:pt>
                      <c:pt idx="2">
                        <c:v>202</c:v>
                      </c:pt>
                      <c:pt idx="3">
                        <c:v>203</c:v>
                      </c:pt>
                      <c:pt idx="4">
                        <c:v>204</c:v>
                      </c:pt>
                      <c:pt idx="5">
                        <c:v>205</c:v>
                      </c:pt>
                      <c:pt idx="6">
                        <c:v>206</c:v>
                      </c:pt>
                      <c:pt idx="7">
                        <c:v>207</c:v>
                      </c:pt>
                      <c:pt idx="8">
                        <c:v>208</c:v>
                      </c:pt>
                      <c:pt idx="9">
                        <c:v>209</c:v>
                      </c:pt>
                      <c:pt idx="10">
                        <c:v>210</c:v>
                      </c:pt>
                      <c:pt idx="11">
                        <c:v>211</c:v>
                      </c:pt>
                      <c:pt idx="12">
                        <c:v>212</c:v>
                      </c:pt>
                      <c:pt idx="13">
                        <c:v>213</c:v>
                      </c:pt>
                      <c:pt idx="14">
                        <c:v>214</c:v>
                      </c:pt>
                      <c:pt idx="15">
                        <c:v>215</c:v>
                      </c:pt>
                      <c:pt idx="16">
                        <c:v>216</c:v>
                      </c:pt>
                      <c:pt idx="17">
                        <c:v>217</c:v>
                      </c:pt>
                      <c:pt idx="18">
                        <c:v>218</c:v>
                      </c:pt>
                      <c:pt idx="19">
                        <c:v>219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57E4-4324-A0AB-9F973FE4C484}"/>
                  </c:ext>
                </c:extLst>
              </c15:ser>
            </c15:filteredScatterSeries>
          </c:ext>
        </c:extLst>
      </c:scatterChart>
      <c:valAx>
        <c:axId val="77436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effctive</a:t>
                </a:r>
                <a:r>
                  <a:rPr lang="en-US" altLang="ja-JP" baseline="0"/>
                  <a:t> plastic strain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4364783"/>
        <c:crosses val="autoZero"/>
        <c:crossBetween val="midCat"/>
      </c:valAx>
      <c:valAx>
        <c:axId val="77436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yield</a:t>
                </a:r>
                <a:r>
                  <a:rPr lang="en-US" altLang="ja-JP" baseline="0"/>
                  <a:t> stress 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436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'RES_1elem (2)'!$F$2:$F$101</c:f>
              <c:numCache>
                <c:formatCode>General</c:formatCode>
                <c:ptCount val="100"/>
                <c:pt idx="0">
                  <c:v>1E-4</c:v>
                </c:pt>
                <c:pt idx="1">
                  <c:v>2.0000000000000001E-4</c:v>
                </c:pt>
                <c:pt idx="2">
                  <c:v>2.9999999999999997E-4</c:v>
                </c:pt>
                <c:pt idx="3">
                  <c:v>4.0000000000000002E-4</c:v>
                </c:pt>
                <c:pt idx="4">
                  <c:v>5.0000000000000001E-4</c:v>
                </c:pt>
                <c:pt idx="5">
                  <c:v>5.9999999999999995E-4</c:v>
                </c:pt>
                <c:pt idx="6">
                  <c:v>6.9999999999999999E-4</c:v>
                </c:pt>
                <c:pt idx="7">
                  <c:v>8.0000000000000004E-4</c:v>
                </c:pt>
                <c:pt idx="8">
                  <c:v>8.9999999999999998E-4</c:v>
                </c:pt>
                <c:pt idx="9">
                  <c:v>1E-3</c:v>
                </c:pt>
                <c:pt idx="10">
                  <c:v>1.1000000000000001E-3</c:v>
                </c:pt>
                <c:pt idx="11">
                  <c:v>1.1999999999999999E-3</c:v>
                </c:pt>
                <c:pt idx="12">
                  <c:v>1.2999999999999999E-3</c:v>
                </c:pt>
                <c:pt idx="13">
                  <c:v>1.4E-3</c:v>
                </c:pt>
                <c:pt idx="14">
                  <c:v>1.5E-3</c:v>
                </c:pt>
                <c:pt idx="15">
                  <c:v>1.6000000000000001E-3</c:v>
                </c:pt>
                <c:pt idx="16">
                  <c:v>1.6999999999999999E-3</c:v>
                </c:pt>
                <c:pt idx="17">
                  <c:v>1.8E-3</c:v>
                </c:pt>
                <c:pt idx="18">
                  <c:v>1.9E-3</c:v>
                </c:pt>
                <c:pt idx="19">
                  <c:v>2E-3</c:v>
                </c:pt>
                <c:pt idx="20">
                  <c:v>2.0999999999999999E-3</c:v>
                </c:pt>
                <c:pt idx="21">
                  <c:v>2.2000000000000001E-3</c:v>
                </c:pt>
                <c:pt idx="22">
                  <c:v>2.3E-3</c:v>
                </c:pt>
                <c:pt idx="23">
                  <c:v>2.3999999999999998E-3</c:v>
                </c:pt>
                <c:pt idx="24">
                  <c:v>2.5000000000000001E-3</c:v>
                </c:pt>
                <c:pt idx="25">
                  <c:v>2.5999999999999999E-3</c:v>
                </c:pt>
                <c:pt idx="26">
                  <c:v>2.7000000000000001E-3</c:v>
                </c:pt>
                <c:pt idx="27">
                  <c:v>2.8E-3</c:v>
                </c:pt>
                <c:pt idx="28">
                  <c:v>2.8999999999999998E-3</c:v>
                </c:pt>
                <c:pt idx="29">
                  <c:v>3.0000000000000001E-3</c:v>
                </c:pt>
                <c:pt idx="30">
                  <c:v>3.0999999999999999E-3</c:v>
                </c:pt>
                <c:pt idx="31">
                  <c:v>3.2000000000000002E-3</c:v>
                </c:pt>
                <c:pt idx="32">
                  <c:v>3.3E-3</c:v>
                </c:pt>
                <c:pt idx="33">
                  <c:v>3.3999999999999998E-3</c:v>
                </c:pt>
                <c:pt idx="34">
                  <c:v>3.5000000000000001E-3</c:v>
                </c:pt>
                <c:pt idx="35">
                  <c:v>3.5999999999999999E-3</c:v>
                </c:pt>
                <c:pt idx="36">
                  <c:v>3.7000000000000002E-3</c:v>
                </c:pt>
                <c:pt idx="37">
                  <c:v>3.8E-3</c:v>
                </c:pt>
                <c:pt idx="38">
                  <c:v>3.8999999999999998E-3</c:v>
                </c:pt>
                <c:pt idx="39">
                  <c:v>4.0000000000000001E-3</c:v>
                </c:pt>
                <c:pt idx="40">
                  <c:v>4.1000000000000003E-3</c:v>
                </c:pt>
                <c:pt idx="41">
                  <c:v>4.1999999999999997E-3</c:v>
                </c:pt>
                <c:pt idx="42">
                  <c:v>4.3E-3</c:v>
                </c:pt>
                <c:pt idx="43">
                  <c:v>4.4000000000000003E-3</c:v>
                </c:pt>
                <c:pt idx="44">
                  <c:v>4.4999999999999997E-3</c:v>
                </c:pt>
                <c:pt idx="45">
                  <c:v>4.5999999999999999E-3</c:v>
                </c:pt>
                <c:pt idx="46">
                  <c:v>4.7000000000000002E-3</c:v>
                </c:pt>
                <c:pt idx="47">
                  <c:v>4.7999999999999996E-3</c:v>
                </c:pt>
                <c:pt idx="48">
                  <c:v>4.8999999999999998E-3</c:v>
                </c:pt>
                <c:pt idx="49">
                  <c:v>5.0000000000000001E-3</c:v>
                </c:pt>
                <c:pt idx="50">
                  <c:v>5.1000000000000004E-3</c:v>
                </c:pt>
                <c:pt idx="51">
                  <c:v>5.1999999999999998E-3</c:v>
                </c:pt>
                <c:pt idx="52">
                  <c:v>5.3E-3</c:v>
                </c:pt>
                <c:pt idx="53">
                  <c:v>5.4000000000000003E-3</c:v>
                </c:pt>
                <c:pt idx="54">
                  <c:v>5.4999999999999997E-3</c:v>
                </c:pt>
                <c:pt idx="55">
                  <c:v>5.5999999999999999E-3</c:v>
                </c:pt>
                <c:pt idx="56">
                  <c:v>5.7000000000000002E-3</c:v>
                </c:pt>
                <c:pt idx="57">
                  <c:v>5.7999999999999996E-3</c:v>
                </c:pt>
                <c:pt idx="58">
                  <c:v>5.8999999999999999E-3</c:v>
                </c:pt>
                <c:pt idx="59">
                  <c:v>6.0000000000000001E-3</c:v>
                </c:pt>
                <c:pt idx="60">
                  <c:v>6.1000000000000004E-3</c:v>
                </c:pt>
                <c:pt idx="61">
                  <c:v>6.1999999999999998E-3</c:v>
                </c:pt>
                <c:pt idx="62">
                  <c:v>6.3E-3</c:v>
                </c:pt>
                <c:pt idx="63">
                  <c:v>6.4000000000000003E-3</c:v>
                </c:pt>
                <c:pt idx="64">
                  <c:v>6.4999999999999997E-3</c:v>
                </c:pt>
                <c:pt idx="65">
                  <c:v>6.6E-3</c:v>
                </c:pt>
                <c:pt idx="66">
                  <c:v>6.7000000000000002E-3</c:v>
                </c:pt>
                <c:pt idx="67">
                  <c:v>6.7999999999999996E-3</c:v>
                </c:pt>
                <c:pt idx="68">
                  <c:v>6.8999999999999999E-3</c:v>
                </c:pt>
                <c:pt idx="69">
                  <c:v>7.0000000000000001E-3</c:v>
                </c:pt>
                <c:pt idx="70">
                  <c:v>7.1000000000000004E-3</c:v>
                </c:pt>
                <c:pt idx="71">
                  <c:v>7.1999999999999998E-3</c:v>
                </c:pt>
                <c:pt idx="72">
                  <c:v>7.3000000000000001E-3</c:v>
                </c:pt>
                <c:pt idx="73">
                  <c:v>7.4000000000000003E-3</c:v>
                </c:pt>
                <c:pt idx="74">
                  <c:v>7.4999999999999997E-3</c:v>
                </c:pt>
                <c:pt idx="75">
                  <c:v>7.6E-3</c:v>
                </c:pt>
                <c:pt idx="76">
                  <c:v>7.7000000000000002E-3</c:v>
                </c:pt>
                <c:pt idx="77">
                  <c:v>7.7999999999999996E-3</c:v>
                </c:pt>
                <c:pt idx="78">
                  <c:v>7.9000000000000008E-3</c:v>
                </c:pt>
                <c:pt idx="79">
                  <c:v>8.0000000000000002E-3</c:v>
                </c:pt>
                <c:pt idx="80">
                  <c:v>8.0999999999999996E-3</c:v>
                </c:pt>
                <c:pt idx="81">
                  <c:v>8.2000000000000007E-3</c:v>
                </c:pt>
                <c:pt idx="82">
                  <c:v>8.3000000000000001E-3</c:v>
                </c:pt>
                <c:pt idx="83">
                  <c:v>8.3999999999999995E-3</c:v>
                </c:pt>
                <c:pt idx="84">
                  <c:v>8.5000000000000006E-3</c:v>
                </c:pt>
                <c:pt idx="85">
                  <c:v>8.6E-3</c:v>
                </c:pt>
                <c:pt idx="86">
                  <c:v>8.6999999999999994E-3</c:v>
                </c:pt>
                <c:pt idx="87">
                  <c:v>8.8000000000000005E-3</c:v>
                </c:pt>
                <c:pt idx="88">
                  <c:v>8.8999999999999999E-3</c:v>
                </c:pt>
                <c:pt idx="89">
                  <c:v>8.9999999999999993E-3</c:v>
                </c:pt>
                <c:pt idx="90">
                  <c:v>9.1000000000000004E-3</c:v>
                </c:pt>
                <c:pt idx="91">
                  <c:v>9.1999999999999998E-3</c:v>
                </c:pt>
                <c:pt idx="92">
                  <c:v>9.2999999999999992E-3</c:v>
                </c:pt>
                <c:pt idx="93">
                  <c:v>9.4000000000000004E-3</c:v>
                </c:pt>
                <c:pt idx="94">
                  <c:v>9.4999999999999998E-3</c:v>
                </c:pt>
                <c:pt idx="95">
                  <c:v>9.5999999999999992E-3</c:v>
                </c:pt>
                <c:pt idx="96">
                  <c:v>9.7000000000000003E-3</c:v>
                </c:pt>
                <c:pt idx="97">
                  <c:v>9.7999999999999997E-3</c:v>
                </c:pt>
                <c:pt idx="98">
                  <c:v>9.9000000000000008E-3</c:v>
                </c:pt>
                <c:pt idx="99">
                  <c:v>0.01</c:v>
                </c:pt>
              </c:numCache>
            </c:numRef>
          </c:xVal>
          <c:yVal>
            <c:numRef>
              <c:f>'RES_1elem (2)'!$E$2:$E$101</c:f>
              <c:numCache>
                <c:formatCode>General</c:formatCode>
                <c:ptCount val="10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200.95</c:v>
                </c:pt>
                <c:pt idx="11">
                  <c:v>201.9</c:v>
                </c:pt>
                <c:pt idx="12">
                  <c:v>202.86</c:v>
                </c:pt>
                <c:pt idx="13">
                  <c:v>203.81</c:v>
                </c:pt>
                <c:pt idx="14">
                  <c:v>204.76</c:v>
                </c:pt>
                <c:pt idx="15">
                  <c:v>205.71</c:v>
                </c:pt>
                <c:pt idx="16">
                  <c:v>206.67</c:v>
                </c:pt>
                <c:pt idx="17">
                  <c:v>207.62</c:v>
                </c:pt>
                <c:pt idx="18">
                  <c:v>208.57</c:v>
                </c:pt>
                <c:pt idx="19">
                  <c:v>209.52</c:v>
                </c:pt>
                <c:pt idx="20">
                  <c:v>210.48</c:v>
                </c:pt>
                <c:pt idx="21">
                  <c:v>211.43</c:v>
                </c:pt>
                <c:pt idx="22">
                  <c:v>212.38</c:v>
                </c:pt>
                <c:pt idx="23">
                  <c:v>213.33</c:v>
                </c:pt>
                <c:pt idx="24">
                  <c:v>214.29</c:v>
                </c:pt>
                <c:pt idx="25">
                  <c:v>215.24</c:v>
                </c:pt>
                <c:pt idx="26">
                  <c:v>216.19</c:v>
                </c:pt>
                <c:pt idx="27">
                  <c:v>217.14</c:v>
                </c:pt>
                <c:pt idx="28">
                  <c:v>218.1</c:v>
                </c:pt>
                <c:pt idx="29">
                  <c:v>219.05</c:v>
                </c:pt>
                <c:pt idx="30">
                  <c:v>220</c:v>
                </c:pt>
                <c:pt idx="31">
                  <c:v>220.95</c:v>
                </c:pt>
                <c:pt idx="32">
                  <c:v>221.9</c:v>
                </c:pt>
                <c:pt idx="33">
                  <c:v>222.86</c:v>
                </c:pt>
                <c:pt idx="34">
                  <c:v>223.81</c:v>
                </c:pt>
                <c:pt idx="35">
                  <c:v>224.76</c:v>
                </c:pt>
                <c:pt idx="36">
                  <c:v>225.71</c:v>
                </c:pt>
                <c:pt idx="37">
                  <c:v>226.67</c:v>
                </c:pt>
                <c:pt idx="38">
                  <c:v>227.62</c:v>
                </c:pt>
                <c:pt idx="39">
                  <c:v>228.57</c:v>
                </c:pt>
                <c:pt idx="40">
                  <c:v>229.52</c:v>
                </c:pt>
                <c:pt idx="41">
                  <c:v>230.48</c:v>
                </c:pt>
                <c:pt idx="42">
                  <c:v>231.43</c:v>
                </c:pt>
                <c:pt idx="43">
                  <c:v>232.38</c:v>
                </c:pt>
                <c:pt idx="44">
                  <c:v>233.33</c:v>
                </c:pt>
                <c:pt idx="45">
                  <c:v>234.29</c:v>
                </c:pt>
                <c:pt idx="46">
                  <c:v>235.24</c:v>
                </c:pt>
                <c:pt idx="47">
                  <c:v>236.19</c:v>
                </c:pt>
                <c:pt idx="48">
                  <c:v>237.14</c:v>
                </c:pt>
                <c:pt idx="49">
                  <c:v>238.1</c:v>
                </c:pt>
                <c:pt idx="50">
                  <c:v>239.05</c:v>
                </c:pt>
                <c:pt idx="51">
                  <c:v>240</c:v>
                </c:pt>
                <c:pt idx="52">
                  <c:v>240.95</c:v>
                </c:pt>
                <c:pt idx="53">
                  <c:v>241.9</c:v>
                </c:pt>
                <c:pt idx="54">
                  <c:v>242.86</c:v>
                </c:pt>
                <c:pt idx="55">
                  <c:v>243.81</c:v>
                </c:pt>
                <c:pt idx="56">
                  <c:v>244.76</c:v>
                </c:pt>
                <c:pt idx="57">
                  <c:v>245.71</c:v>
                </c:pt>
                <c:pt idx="58">
                  <c:v>246.67</c:v>
                </c:pt>
                <c:pt idx="59">
                  <c:v>247.62</c:v>
                </c:pt>
                <c:pt idx="60">
                  <c:v>248.57</c:v>
                </c:pt>
                <c:pt idx="61">
                  <c:v>249.52</c:v>
                </c:pt>
                <c:pt idx="62">
                  <c:v>250.48</c:v>
                </c:pt>
                <c:pt idx="63">
                  <c:v>251.43</c:v>
                </c:pt>
                <c:pt idx="64">
                  <c:v>252.38</c:v>
                </c:pt>
                <c:pt idx="65">
                  <c:v>253.33</c:v>
                </c:pt>
                <c:pt idx="66">
                  <c:v>254.29</c:v>
                </c:pt>
                <c:pt idx="67">
                  <c:v>255.24</c:v>
                </c:pt>
                <c:pt idx="68">
                  <c:v>256.19</c:v>
                </c:pt>
                <c:pt idx="69">
                  <c:v>257.14</c:v>
                </c:pt>
                <c:pt idx="70">
                  <c:v>258.10000000000002</c:v>
                </c:pt>
                <c:pt idx="71">
                  <c:v>259.05</c:v>
                </c:pt>
                <c:pt idx="72">
                  <c:v>260</c:v>
                </c:pt>
                <c:pt idx="73">
                  <c:v>260.95</c:v>
                </c:pt>
                <c:pt idx="74">
                  <c:v>261.89999999999998</c:v>
                </c:pt>
                <c:pt idx="75">
                  <c:v>262.86</c:v>
                </c:pt>
                <c:pt idx="76">
                  <c:v>263.81</c:v>
                </c:pt>
                <c:pt idx="77">
                  <c:v>264.76</c:v>
                </c:pt>
                <c:pt idx="78">
                  <c:v>265.70999999999998</c:v>
                </c:pt>
                <c:pt idx="79">
                  <c:v>266.67</c:v>
                </c:pt>
                <c:pt idx="80">
                  <c:v>267.62</c:v>
                </c:pt>
                <c:pt idx="81">
                  <c:v>268.57</c:v>
                </c:pt>
                <c:pt idx="82">
                  <c:v>269.52</c:v>
                </c:pt>
                <c:pt idx="83">
                  <c:v>270.48</c:v>
                </c:pt>
                <c:pt idx="84">
                  <c:v>271.43</c:v>
                </c:pt>
                <c:pt idx="85">
                  <c:v>272.38</c:v>
                </c:pt>
                <c:pt idx="86">
                  <c:v>273.33</c:v>
                </c:pt>
                <c:pt idx="87">
                  <c:v>274.29000000000002</c:v>
                </c:pt>
                <c:pt idx="88">
                  <c:v>275.24</c:v>
                </c:pt>
                <c:pt idx="89">
                  <c:v>276.19</c:v>
                </c:pt>
                <c:pt idx="90">
                  <c:v>277.14</c:v>
                </c:pt>
                <c:pt idx="91">
                  <c:v>278.10000000000002</c:v>
                </c:pt>
                <c:pt idx="92">
                  <c:v>279.05</c:v>
                </c:pt>
                <c:pt idx="93">
                  <c:v>280</c:v>
                </c:pt>
                <c:pt idx="94">
                  <c:v>280.95</c:v>
                </c:pt>
                <c:pt idx="95">
                  <c:v>281.89999999999998</c:v>
                </c:pt>
                <c:pt idx="96">
                  <c:v>282.86</c:v>
                </c:pt>
                <c:pt idx="97">
                  <c:v>283.81</c:v>
                </c:pt>
                <c:pt idx="98">
                  <c:v>284.76</c:v>
                </c:pt>
                <c:pt idx="99">
                  <c:v>285.70999999999998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43-48B5-9A8E-EFC69C3EF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265087"/>
        <c:axId val="1690266047"/>
      </c:scatterChart>
      <c:valAx>
        <c:axId val="169026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yy</a:t>
                </a:r>
                <a:r>
                  <a:rPr lang="en-US" altLang="ja-JP" baseline="0"/>
                  <a:t> strain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6047"/>
        <c:crosses val="autoZero"/>
        <c:crossBetween val="midCat"/>
      </c:valAx>
      <c:valAx>
        <c:axId val="16902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yy</a:t>
                </a:r>
                <a:r>
                  <a:rPr lang="en-US" altLang="ja-JP" baseline="0"/>
                  <a:t> stress[MPa]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4595668924304797E-4"/>
                  <c:y val="0.129629629629629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'RES_1elem (2)'!$F$11:$F$101</c:f>
              <c:numCache>
                <c:formatCode>General</c:formatCode>
                <c:ptCount val="91"/>
                <c:pt idx="0">
                  <c:v>1E-3</c:v>
                </c:pt>
                <c:pt idx="1">
                  <c:v>1.1000000000000001E-3</c:v>
                </c:pt>
                <c:pt idx="2">
                  <c:v>1.1999999999999999E-3</c:v>
                </c:pt>
                <c:pt idx="3">
                  <c:v>1.2999999999999999E-3</c:v>
                </c:pt>
                <c:pt idx="4">
                  <c:v>1.4E-3</c:v>
                </c:pt>
                <c:pt idx="5">
                  <c:v>1.5E-3</c:v>
                </c:pt>
                <c:pt idx="6">
                  <c:v>1.6000000000000001E-3</c:v>
                </c:pt>
                <c:pt idx="7">
                  <c:v>1.6999999999999999E-3</c:v>
                </c:pt>
                <c:pt idx="8">
                  <c:v>1.8E-3</c:v>
                </c:pt>
                <c:pt idx="9">
                  <c:v>1.9E-3</c:v>
                </c:pt>
                <c:pt idx="10">
                  <c:v>2E-3</c:v>
                </c:pt>
                <c:pt idx="11">
                  <c:v>2.0999999999999999E-3</c:v>
                </c:pt>
                <c:pt idx="12">
                  <c:v>2.2000000000000001E-3</c:v>
                </c:pt>
                <c:pt idx="13">
                  <c:v>2.3E-3</c:v>
                </c:pt>
                <c:pt idx="14">
                  <c:v>2.3999999999999998E-3</c:v>
                </c:pt>
                <c:pt idx="15">
                  <c:v>2.5000000000000001E-3</c:v>
                </c:pt>
                <c:pt idx="16">
                  <c:v>2.5999999999999999E-3</c:v>
                </c:pt>
                <c:pt idx="17">
                  <c:v>2.7000000000000001E-3</c:v>
                </c:pt>
                <c:pt idx="18">
                  <c:v>2.8E-3</c:v>
                </c:pt>
                <c:pt idx="19">
                  <c:v>2.8999999999999998E-3</c:v>
                </c:pt>
                <c:pt idx="20">
                  <c:v>3.0000000000000001E-3</c:v>
                </c:pt>
                <c:pt idx="21">
                  <c:v>3.0999999999999999E-3</c:v>
                </c:pt>
                <c:pt idx="22">
                  <c:v>3.2000000000000002E-3</c:v>
                </c:pt>
                <c:pt idx="23">
                  <c:v>3.3E-3</c:v>
                </c:pt>
                <c:pt idx="24">
                  <c:v>3.3999999999999998E-3</c:v>
                </c:pt>
                <c:pt idx="25">
                  <c:v>3.5000000000000001E-3</c:v>
                </c:pt>
                <c:pt idx="26">
                  <c:v>3.5999999999999999E-3</c:v>
                </c:pt>
                <c:pt idx="27">
                  <c:v>3.7000000000000002E-3</c:v>
                </c:pt>
                <c:pt idx="28">
                  <c:v>3.8E-3</c:v>
                </c:pt>
                <c:pt idx="29">
                  <c:v>3.8999999999999998E-3</c:v>
                </c:pt>
                <c:pt idx="30">
                  <c:v>4.0000000000000001E-3</c:v>
                </c:pt>
                <c:pt idx="31">
                  <c:v>4.1000000000000003E-3</c:v>
                </c:pt>
                <c:pt idx="32">
                  <c:v>4.1999999999999997E-3</c:v>
                </c:pt>
                <c:pt idx="33">
                  <c:v>4.3E-3</c:v>
                </c:pt>
                <c:pt idx="34">
                  <c:v>4.4000000000000003E-3</c:v>
                </c:pt>
                <c:pt idx="35">
                  <c:v>4.4999999999999997E-3</c:v>
                </c:pt>
                <c:pt idx="36">
                  <c:v>4.5999999999999999E-3</c:v>
                </c:pt>
                <c:pt idx="37">
                  <c:v>4.7000000000000002E-3</c:v>
                </c:pt>
                <c:pt idx="38">
                  <c:v>4.7999999999999996E-3</c:v>
                </c:pt>
                <c:pt idx="39">
                  <c:v>4.8999999999999998E-3</c:v>
                </c:pt>
                <c:pt idx="40">
                  <c:v>5.0000000000000001E-3</c:v>
                </c:pt>
                <c:pt idx="41">
                  <c:v>5.1000000000000004E-3</c:v>
                </c:pt>
                <c:pt idx="42">
                  <c:v>5.1999999999999998E-3</c:v>
                </c:pt>
                <c:pt idx="43">
                  <c:v>5.3E-3</c:v>
                </c:pt>
                <c:pt idx="44">
                  <c:v>5.4000000000000003E-3</c:v>
                </c:pt>
                <c:pt idx="45">
                  <c:v>5.4999999999999997E-3</c:v>
                </c:pt>
                <c:pt idx="46">
                  <c:v>5.5999999999999999E-3</c:v>
                </c:pt>
                <c:pt idx="47">
                  <c:v>5.7000000000000002E-3</c:v>
                </c:pt>
                <c:pt idx="48">
                  <c:v>5.7999999999999996E-3</c:v>
                </c:pt>
                <c:pt idx="49">
                  <c:v>5.8999999999999999E-3</c:v>
                </c:pt>
                <c:pt idx="50">
                  <c:v>6.0000000000000001E-3</c:v>
                </c:pt>
                <c:pt idx="51">
                  <c:v>6.1000000000000004E-3</c:v>
                </c:pt>
                <c:pt idx="52">
                  <c:v>6.1999999999999998E-3</c:v>
                </c:pt>
                <c:pt idx="53">
                  <c:v>6.3E-3</c:v>
                </c:pt>
                <c:pt idx="54">
                  <c:v>6.4000000000000003E-3</c:v>
                </c:pt>
                <c:pt idx="55">
                  <c:v>6.4999999999999997E-3</c:v>
                </c:pt>
                <c:pt idx="56">
                  <c:v>6.6E-3</c:v>
                </c:pt>
                <c:pt idx="57">
                  <c:v>6.7000000000000002E-3</c:v>
                </c:pt>
                <c:pt idx="58">
                  <c:v>6.7999999999999996E-3</c:v>
                </c:pt>
                <c:pt idx="59">
                  <c:v>6.8999999999999999E-3</c:v>
                </c:pt>
                <c:pt idx="60">
                  <c:v>7.0000000000000001E-3</c:v>
                </c:pt>
                <c:pt idx="61">
                  <c:v>7.1000000000000004E-3</c:v>
                </c:pt>
                <c:pt idx="62">
                  <c:v>7.1999999999999998E-3</c:v>
                </c:pt>
                <c:pt idx="63">
                  <c:v>7.3000000000000001E-3</c:v>
                </c:pt>
                <c:pt idx="64">
                  <c:v>7.4000000000000003E-3</c:v>
                </c:pt>
                <c:pt idx="65">
                  <c:v>7.4999999999999997E-3</c:v>
                </c:pt>
                <c:pt idx="66">
                  <c:v>7.6E-3</c:v>
                </c:pt>
                <c:pt idx="67">
                  <c:v>7.7000000000000002E-3</c:v>
                </c:pt>
                <c:pt idx="68">
                  <c:v>7.7999999999999996E-3</c:v>
                </c:pt>
                <c:pt idx="69">
                  <c:v>7.9000000000000008E-3</c:v>
                </c:pt>
                <c:pt idx="70">
                  <c:v>8.0000000000000002E-3</c:v>
                </c:pt>
                <c:pt idx="71">
                  <c:v>8.0999999999999996E-3</c:v>
                </c:pt>
                <c:pt idx="72">
                  <c:v>8.2000000000000007E-3</c:v>
                </c:pt>
                <c:pt idx="73">
                  <c:v>8.3000000000000001E-3</c:v>
                </c:pt>
                <c:pt idx="74">
                  <c:v>8.3999999999999995E-3</c:v>
                </c:pt>
                <c:pt idx="75">
                  <c:v>8.5000000000000006E-3</c:v>
                </c:pt>
                <c:pt idx="76">
                  <c:v>8.6E-3</c:v>
                </c:pt>
                <c:pt idx="77">
                  <c:v>8.6999999999999994E-3</c:v>
                </c:pt>
                <c:pt idx="78">
                  <c:v>8.8000000000000005E-3</c:v>
                </c:pt>
                <c:pt idx="79">
                  <c:v>8.8999999999999999E-3</c:v>
                </c:pt>
                <c:pt idx="80">
                  <c:v>8.9999999999999993E-3</c:v>
                </c:pt>
                <c:pt idx="81">
                  <c:v>9.1000000000000004E-3</c:v>
                </c:pt>
                <c:pt idx="82">
                  <c:v>9.1999999999999998E-3</c:v>
                </c:pt>
                <c:pt idx="83">
                  <c:v>9.2999999999999992E-3</c:v>
                </c:pt>
                <c:pt idx="84">
                  <c:v>9.4000000000000004E-3</c:v>
                </c:pt>
                <c:pt idx="85">
                  <c:v>9.4999999999999998E-3</c:v>
                </c:pt>
                <c:pt idx="86">
                  <c:v>9.5999999999999992E-3</c:v>
                </c:pt>
                <c:pt idx="87">
                  <c:v>9.7000000000000003E-3</c:v>
                </c:pt>
                <c:pt idx="88">
                  <c:v>9.7999999999999997E-3</c:v>
                </c:pt>
                <c:pt idx="89">
                  <c:v>9.9000000000000008E-3</c:v>
                </c:pt>
                <c:pt idx="90">
                  <c:v>0.01</c:v>
                </c:pt>
              </c:numCache>
            </c:numRef>
          </c:xVal>
          <c:yVal>
            <c:numRef>
              <c:f>'RES_1elem (2)'!$E$11:$E$101</c:f>
              <c:numCache>
                <c:formatCode>General</c:formatCode>
                <c:ptCount val="91"/>
                <c:pt idx="0">
                  <c:v>200</c:v>
                </c:pt>
                <c:pt idx="1">
                  <c:v>200.95</c:v>
                </c:pt>
                <c:pt idx="2">
                  <c:v>201.9</c:v>
                </c:pt>
                <c:pt idx="3">
                  <c:v>202.86</c:v>
                </c:pt>
                <c:pt idx="4">
                  <c:v>203.81</c:v>
                </c:pt>
                <c:pt idx="5">
                  <c:v>204.76</c:v>
                </c:pt>
                <c:pt idx="6">
                  <c:v>205.71</c:v>
                </c:pt>
                <c:pt idx="7">
                  <c:v>206.67</c:v>
                </c:pt>
                <c:pt idx="8">
                  <c:v>207.62</c:v>
                </c:pt>
                <c:pt idx="9">
                  <c:v>208.57</c:v>
                </c:pt>
                <c:pt idx="10">
                  <c:v>209.52</c:v>
                </c:pt>
                <c:pt idx="11">
                  <c:v>210.48</c:v>
                </c:pt>
                <c:pt idx="12">
                  <c:v>211.43</c:v>
                </c:pt>
                <c:pt idx="13">
                  <c:v>212.38</c:v>
                </c:pt>
                <c:pt idx="14">
                  <c:v>213.33</c:v>
                </c:pt>
                <c:pt idx="15">
                  <c:v>214.29</c:v>
                </c:pt>
                <c:pt idx="16">
                  <c:v>215.24</c:v>
                </c:pt>
                <c:pt idx="17">
                  <c:v>216.19</c:v>
                </c:pt>
                <c:pt idx="18">
                  <c:v>217.14</c:v>
                </c:pt>
                <c:pt idx="19">
                  <c:v>218.1</c:v>
                </c:pt>
                <c:pt idx="20">
                  <c:v>219.05</c:v>
                </c:pt>
                <c:pt idx="21">
                  <c:v>220</c:v>
                </c:pt>
                <c:pt idx="22">
                  <c:v>220.95</c:v>
                </c:pt>
                <c:pt idx="23">
                  <c:v>221.9</c:v>
                </c:pt>
                <c:pt idx="24">
                  <c:v>222.86</c:v>
                </c:pt>
                <c:pt idx="25">
                  <c:v>223.81</c:v>
                </c:pt>
                <c:pt idx="26">
                  <c:v>224.76</c:v>
                </c:pt>
                <c:pt idx="27">
                  <c:v>225.71</c:v>
                </c:pt>
                <c:pt idx="28">
                  <c:v>226.67</c:v>
                </c:pt>
                <c:pt idx="29">
                  <c:v>227.62</c:v>
                </c:pt>
                <c:pt idx="30">
                  <c:v>228.57</c:v>
                </c:pt>
                <c:pt idx="31">
                  <c:v>229.52</c:v>
                </c:pt>
                <c:pt idx="32">
                  <c:v>230.48</c:v>
                </c:pt>
                <c:pt idx="33">
                  <c:v>231.43</c:v>
                </c:pt>
                <c:pt idx="34">
                  <c:v>232.38</c:v>
                </c:pt>
                <c:pt idx="35">
                  <c:v>233.33</c:v>
                </c:pt>
                <c:pt idx="36">
                  <c:v>234.29</c:v>
                </c:pt>
                <c:pt idx="37">
                  <c:v>235.24</c:v>
                </c:pt>
                <c:pt idx="38">
                  <c:v>236.19</c:v>
                </c:pt>
                <c:pt idx="39">
                  <c:v>237.14</c:v>
                </c:pt>
                <c:pt idx="40">
                  <c:v>238.1</c:v>
                </c:pt>
                <c:pt idx="41">
                  <c:v>239.05</c:v>
                </c:pt>
                <c:pt idx="42">
                  <c:v>240</c:v>
                </c:pt>
                <c:pt idx="43">
                  <c:v>240.95</c:v>
                </c:pt>
                <c:pt idx="44">
                  <c:v>241.9</c:v>
                </c:pt>
                <c:pt idx="45">
                  <c:v>242.86</c:v>
                </c:pt>
                <c:pt idx="46">
                  <c:v>243.81</c:v>
                </c:pt>
                <c:pt idx="47">
                  <c:v>244.76</c:v>
                </c:pt>
                <c:pt idx="48">
                  <c:v>245.71</c:v>
                </c:pt>
                <c:pt idx="49">
                  <c:v>246.67</c:v>
                </c:pt>
                <c:pt idx="50">
                  <c:v>247.62</c:v>
                </c:pt>
                <c:pt idx="51">
                  <c:v>248.57</c:v>
                </c:pt>
                <c:pt idx="52">
                  <c:v>249.52</c:v>
                </c:pt>
                <c:pt idx="53">
                  <c:v>250.48</c:v>
                </c:pt>
                <c:pt idx="54">
                  <c:v>251.43</c:v>
                </c:pt>
                <c:pt idx="55">
                  <c:v>252.38</c:v>
                </c:pt>
                <c:pt idx="56">
                  <c:v>253.33</c:v>
                </c:pt>
                <c:pt idx="57">
                  <c:v>254.29</c:v>
                </c:pt>
                <c:pt idx="58">
                  <c:v>255.24</c:v>
                </c:pt>
                <c:pt idx="59">
                  <c:v>256.19</c:v>
                </c:pt>
                <c:pt idx="60">
                  <c:v>257.14</c:v>
                </c:pt>
                <c:pt idx="61">
                  <c:v>258.10000000000002</c:v>
                </c:pt>
                <c:pt idx="62">
                  <c:v>259.05</c:v>
                </c:pt>
                <c:pt idx="63">
                  <c:v>260</c:v>
                </c:pt>
                <c:pt idx="64">
                  <c:v>260.95</c:v>
                </c:pt>
                <c:pt idx="65">
                  <c:v>261.89999999999998</c:v>
                </c:pt>
                <c:pt idx="66">
                  <c:v>262.86</c:v>
                </c:pt>
                <c:pt idx="67">
                  <c:v>263.81</c:v>
                </c:pt>
                <c:pt idx="68">
                  <c:v>264.76</c:v>
                </c:pt>
                <c:pt idx="69">
                  <c:v>265.70999999999998</c:v>
                </c:pt>
                <c:pt idx="70">
                  <c:v>266.67</c:v>
                </c:pt>
                <c:pt idx="71">
                  <c:v>267.62</c:v>
                </c:pt>
                <c:pt idx="72">
                  <c:v>268.57</c:v>
                </c:pt>
                <c:pt idx="73">
                  <c:v>269.52</c:v>
                </c:pt>
                <c:pt idx="74">
                  <c:v>270.48</c:v>
                </c:pt>
                <c:pt idx="75">
                  <c:v>271.43</c:v>
                </c:pt>
                <c:pt idx="76">
                  <c:v>272.38</c:v>
                </c:pt>
                <c:pt idx="77">
                  <c:v>273.33</c:v>
                </c:pt>
                <c:pt idx="78">
                  <c:v>274.29000000000002</c:v>
                </c:pt>
                <c:pt idx="79">
                  <c:v>275.24</c:v>
                </c:pt>
                <c:pt idx="80">
                  <c:v>276.19</c:v>
                </c:pt>
                <c:pt idx="81">
                  <c:v>277.14</c:v>
                </c:pt>
                <c:pt idx="82">
                  <c:v>278.10000000000002</c:v>
                </c:pt>
                <c:pt idx="83">
                  <c:v>279.05</c:v>
                </c:pt>
                <c:pt idx="84">
                  <c:v>280</c:v>
                </c:pt>
                <c:pt idx="85">
                  <c:v>280.95</c:v>
                </c:pt>
                <c:pt idx="86">
                  <c:v>281.89999999999998</c:v>
                </c:pt>
                <c:pt idx="87">
                  <c:v>282.86</c:v>
                </c:pt>
                <c:pt idx="88">
                  <c:v>283.81</c:v>
                </c:pt>
                <c:pt idx="89">
                  <c:v>284.76</c:v>
                </c:pt>
                <c:pt idx="90">
                  <c:v>285.70999999999998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D-4565-A7B4-F5BBA08CE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265087"/>
        <c:axId val="1690266047"/>
      </c:scatterChart>
      <c:valAx>
        <c:axId val="169026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yy</a:t>
                </a:r>
                <a:r>
                  <a:rPr lang="en-US" altLang="ja-JP" baseline="0"/>
                  <a:t> strain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6047"/>
        <c:crosses val="autoZero"/>
        <c:crossBetween val="midCat"/>
      </c:valAx>
      <c:valAx>
        <c:axId val="16902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yy</a:t>
                </a:r>
                <a:r>
                  <a:rPr lang="en-US" altLang="ja-JP" baseline="0"/>
                  <a:t> stress[MPa]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5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'RES_1elem (2)'!$D$2:$D$101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2.3494000000000002E-19</c:v>
                </c:pt>
                <c:pt idx="10">
                  <c:v>9.5237999999999999E-5</c:v>
                </c:pt>
                <c:pt idx="11">
                  <c:v>1.9048000000000001E-4</c:v>
                </c:pt>
                <c:pt idx="12">
                  <c:v>2.8571E-4</c:v>
                </c:pt>
                <c:pt idx="13">
                  <c:v>3.8095000000000002E-4</c:v>
                </c:pt>
                <c:pt idx="14">
                  <c:v>4.7618999999999998E-4</c:v>
                </c:pt>
                <c:pt idx="15">
                  <c:v>5.7143000000000005E-4</c:v>
                </c:pt>
                <c:pt idx="16">
                  <c:v>6.6666999999999996E-4</c:v>
                </c:pt>
                <c:pt idx="17">
                  <c:v>7.6190000000000003E-4</c:v>
                </c:pt>
                <c:pt idx="18">
                  <c:v>8.5714000000000005E-4</c:v>
                </c:pt>
                <c:pt idx="19">
                  <c:v>9.5237999999999996E-4</c:v>
                </c:pt>
                <c:pt idx="20">
                  <c:v>1.0476000000000001E-3</c:v>
                </c:pt>
                <c:pt idx="21">
                  <c:v>1.1429000000000001E-3</c:v>
                </c:pt>
                <c:pt idx="22">
                  <c:v>1.2381E-3</c:v>
                </c:pt>
                <c:pt idx="23">
                  <c:v>1.3332999999999999E-3</c:v>
                </c:pt>
                <c:pt idx="24">
                  <c:v>1.4285999999999999E-3</c:v>
                </c:pt>
                <c:pt idx="25">
                  <c:v>1.5238000000000001E-3</c:v>
                </c:pt>
                <c:pt idx="26">
                  <c:v>1.619E-3</c:v>
                </c:pt>
                <c:pt idx="27">
                  <c:v>1.7143E-3</c:v>
                </c:pt>
                <c:pt idx="28">
                  <c:v>1.8094999999999999E-3</c:v>
                </c:pt>
                <c:pt idx="29">
                  <c:v>1.9047999999999999E-3</c:v>
                </c:pt>
                <c:pt idx="30">
                  <c:v>2E-3</c:v>
                </c:pt>
                <c:pt idx="31">
                  <c:v>2.0952000000000002E-3</c:v>
                </c:pt>
                <c:pt idx="32">
                  <c:v>2.1905000000000002E-3</c:v>
                </c:pt>
                <c:pt idx="33">
                  <c:v>2.2856999999999999E-3</c:v>
                </c:pt>
                <c:pt idx="34">
                  <c:v>2.3809999999999999E-3</c:v>
                </c:pt>
                <c:pt idx="35">
                  <c:v>2.4762E-3</c:v>
                </c:pt>
                <c:pt idx="36">
                  <c:v>2.5714000000000002E-3</c:v>
                </c:pt>
                <c:pt idx="37">
                  <c:v>2.6667000000000001E-3</c:v>
                </c:pt>
                <c:pt idx="38">
                  <c:v>2.7618999999999999E-3</c:v>
                </c:pt>
                <c:pt idx="39">
                  <c:v>2.8571E-3</c:v>
                </c:pt>
                <c:pt idx="40">
                  <c:v>2.9524E-3</c:v>
                </c:pt>
                <c:pt idx="41">
                  <c:v>3.0476000000000001E-3</c:v>
                </c:pt>
                <c:pt idx="42">
                  <c:v>3.1429000000000001E-3</c:v>
                </c:pt>
                <c:pt idx="43">
                  <c:v>3.2380999999999998E-3</c:v>
                </c:pt>
                <c:pt idx="44">
                  <c:v>3.3333E-3</c:v>
                </c:pt>
                <c:pt idx="45">
                  <c:v>3.4286E-3</c:v>
                </c:pt>
                <c:pt idx="46">
                  <c:v>3.5238000000000001E-3</c:v>
                </c:pt>
                <c:pt idx="47">
                  <c:v>3.6189999999999998E-3</c:v>
                </c:pt>
                <c:pt idx="48">
                  <c:v>3.7142999999999998E-3</c:v>
                </c:pt>
                <c:pt idx="49">
                  <c:v>3.8095E-3</c:v>
                </c:pt>
                <c:pt idx="50">
                  <c:v>3.9047999999999999E-3</c:v>
                </c:pt>
                <c:pt idx="51">
                  <c:v>4.0000000000000001E-3</c:v>
                </c:pt>
                <c:pt idx="52">
                  <c:v>4.0952000000000002E-3</c:v>
                </c:pt>
                <c:pt idx="53">
                  <c:v>4.1904999999999998E-3</c:v>
                </c:pt>
                <c:pt idx="54">
                  <c:v>4.2856999999999999E-3</c:v>
                </c:pt>
                <c:pt idx="55">
                  <c:v>4.3810000000000003E-3</c:v>
                </c:pt>
                <c:pt idx="56">
                  <c:v>4.4761999999999996E-3</c:v>
                </c:pt>
                <c:pt idx="57">
                  <c:v>4.5713999999999998E-3</c:v>
                </c:pt>
                <c:pt idx="58">
                  <c:v>4.6667000000000002E-3</c:v>
                </c:pt>
                <c:pt idx="59">
                  <c:v>4.7619000000000003E-3</c:v>
                </c:pt>
                <c:pt idx="60">
                  <c:v>4.8570999999999996E-3</c:v>
                </c:pt>
                <c:pt idx="61">
                  <c:v>4.9524E-3</c:v>
                </c:pt>
                <c:pt idx="62">
                  <c:v>5.0476000000000002E-3</c:v>
                </c:pt>
                <c:pt idx="63">
                  <c:v>5.1428999999999997E-3</c:v>
                </c:pt>
                <c:pt idx="64">
                  <c:v>5.2380999999999999E-3</c:v>
                </c:pt>
                <c:pt idx="65">
                  <c:v>5.3333E-3</c:v>
                </c:pt>
                <c:pt idx="66">
                  <c:v>5.4285999999999996E-3</c:v>
                </c:pt>
                <c:pt idx="67">
                  <c:v>5.5237999999999997E-3</c:v>
                </c:pt>
                <c:pt idx="68">
                  <c:v>5.6189999999999999E-3</c:v>
                </c:pt>
                <c:pt idx="69">
                  <c:v>5.7143000000000003E-3</c:v>
                </c:pt>
                <c:pt idx="70">
                  <c:v>5.8095000000000004E-3</c:v>
                </c:pt>
                <c:pt idx="71">
                  <c:v>5.9048E-3</c:v>
                </c:pt>
                <c:pt idx="72">
                  <c:v>6.0000000000000001E-3</c:v>
                </c:pt>
                <c:pt idx="73">
                  <c:v>6.0952000000000003E-3</c:v>
                </c:pt>
                <c:pt idx="74">
                  <c:v>6.1904999999999998E-3</c:v>
                </c:pt>
                <c:pt idx="75">
                  <c:v>6.2857E-3</c:v>
                </c:pt>
                <c:pt idx="76">
                  <c:v>6.3810000000000004E-3</c:v>
                </c:pt>
                <c:pt idx="77">
                  <c:v>6.4761999999999997E-3</c:v>
                </c:pt>
                <c:pt idx="78">
                  <c:v>6.5713999999999998E-3</c:v>
                </c:pt>
                <c:pt idx="79">
                  <c:v>6.6667000000000002E-3</c:v>
                </c:pt>
                <c:pt idx="80">
                  <c:v>6.7619000000000004E-3</c:v>
                </c:pt>
                <c:pt idx="81">
                  <c:v>6.8570999999999997E-3</c:v>
                </c:pt>
                <c:pt idx="82">
                  <c:v>6.9524000000000001E-3</c:v>
                </c:pt>
                <c:pt idx="83">
                  <c:v>7.0476000000000002E-3</c:v>
                </c:pt>
                <c:pt idx="84">
                  <c:v>7.1428999999999998E-3</c:v>
                </c:pt>
                <c:pt idx="85">
                  <c:v>7.2380999999999999E-3</c:v>
                </c:pt>
                <c:pt idx="86">
                  <c:v>7.3333000000000001E-3</c:v>
                </c:pt>
                <c:pt idx="87">
                  <c:v>7.4285999999999996E-3</c:v>
                </c:pt>
                <c:pt idx="88">
                  <c:v>7.5237999999999998E-3</c:v>
                </c:pt>
                <c:pt idx="89">
                  <c:v>7.6189999999999999E-3</c:v>
                </c:pt>
                <c:pt idx="90">
                  <c:v>7.7143000000000003E-3</c:v>
                </c:pt>
                <c:pt idx="91">
                  <c:v>7.8094999999999996E-3</c:v>
                </c:pt>
                <c:pt idx="92">
                  <c:v>7.9048E-3</c:v>
                </c:pt>
                <c:pt idx="93">
                  <c:v>8.0000000000000002E-3</c:v>
                </c:pt>
                <c:pt idx="94">
                  <c:v>8.0952000000000003E-3</c:v>
                </c:pt>
                <c:pt idx="95">
                  <c:v>8.1904999999999999E-3</c:v>
                </c:pt>
                <c:pt idx="96">
                  <c:v>8.2857E-3</c:v>
                </c:pt>
                <c:pt idx="97">
                  <c:v>8.3809999999999996E-3</c:v>
                </c:pt>
                <c:pt idx="98">
                  <c:v>8.4761999999999997E-3</c:v>
                </c:pt>
                <c:pt idx="99">
                  <c:v>8.5713999999999999E-3</c:v>
                </c:pt>
              </c:numCache>
            </c:numRef>
          </c:xVal>
          <c:yVal>
            <c:numRef>
              <c:f>'RES_1elem (2)'!$C$2:$C$101</c:f>
              <c:numCache>
                <c:formatCode>General</c:formatCode>
                <c:ptCount val="10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200.95</c:v>
                </c:pt>
                <c:pt idx="11">
                  <c:v>201.9</c:v>
                </c:pt>
                <c:pt idx="12">
                  <c:v>202.86</c:v>
                </c:pt>
                <c:pt idx="13">
                  <c:v>203.81</c:v>
                </c:pt>
                <c:pt idx="14">
                  <c:v>204.76</c:v>
                </c:pt>
                <c:pt idx="15">
                  <c:v>205.71</c:v>
                </c:pt>
                <c:pt idx="16">
                  <c:v>206.67</c:v>
                </c:pt>
                <c:pt idx="17">
                  <c:v>207.62</c:v>
                </c:pt>
                <c:pt idx="18">
                  <c:v>208.57</c:v>
                </c:pt>
                <c:pt idx="19">
                  <c:v>209.52</c:v>
                </c:pt>
                <c:pt idx="20">
                  <c:v>210.48</c:v>
                </c:pt>
                <c:pt idx="21">
                  <c:v>211.43</c:v>
                </c:pt>
                <c:pt idx="22">
                  <c:v>212.38</c:v>
                </c:pt>
                <c:pt idx="23">
                  <c:v>213.33</c:v>
                </c:pt>
                <c:pt idx="24">
                  <c:v>214.29</c:v>
                </c:pt>
                <c:pt idx="25">
                  <c:v>215.24</c:v>
                </c:pt>
                <c:pt idx="26">
                  <c:v>216.19</c:v>
                </c:pt>
                <c:pt idx="27">
                  <c:v>217.14</c:v>
                </c:pt>
                <c:pt idx="28">
                  <c:v>218.1</c:v>
                </c:pt>
                <c:pt idx="29">
                  <c:v>219.05</c:v>
                </c:pt>
                <c:pt idx="30">
                  <c:v>220</c:v>
                </c:pt>
                <c:pt idx="31">
                  <c:v>220.95</c:v>
                </c:pt>
                <c:pt idx="32">
                  <c:v>221.9</c:v>
                </c:pt>
                <c:pt idx="33">
                  <c:v>222.86</c:v>
                </c:pt>
                <c:pt idx="34">
                  <c:v>223.81</c:v>
                </c:pt>
                <c:pt idx="35">
                  <c:v>224.76</c:v>
                </c:pt>
                <c:pt idx="36">
                  <c:v>225.71</c:v>
                </c:pt>
                <c:pt idx="37">
                  <c:v>226.67</c:v>
                </c:pt>
                <c:pt idx="38">
                  <c:v>227.62</c:v>
                </c:pt>
                <c:pt idx="39">
                  <c:v>228.57</c:v>
                </c:pt>
                <c:pt idx="40">
                  <c:v>229.52</c:v>
                </c:pt>
                <c:pt idx="41">
                  <c:v>230.48</c:v>
                </c:pt>
                <c:pt idx="42">
                  <c:v>231.43</c:v>
                </c:pt>
                <c:pt idx="43">
                  <c:v>232.38</c:v>
                </c:pt>
                <c:pt idx="44">
                  <c:v>233.33</c:v>
                </c:pt>
                <c:pt idx="45">
                  <c:v>234.29</c:v>
                </c:pt>
                <c:pt idx="46">
                  <c:v>235.24</c:v>
                </c:pt>
                <c:pt idx="47">
                  <c:v>236.19</c:v>
                </c:pt>
                <c:pt idx="48">
                  <c:v>237.14</c:v>
                </c:pt>
                <c:pt idx="49">
                  <c:v>238.1</c:v>
                </c:pt>
                <c:pt idx="50">
                  <c:v>239.05</c:v>
                </c:pt>
                <c:pt idx="51">
                  <c:v>240</c:v>
                </c:pt>
                <c:pt idx="52">
                  <c:v>240.95</c:v>
                </c:pt>
                <c:pt idx="53">
                  <c:v>241.9</c:v>
                </c:pt>
                <c:pt idx="54">
                  <c:v>242.86</c:v>
                </c:pt>
                <c:pt idx="55">
                  <c:v>243.81</c:v>
                </c:pt>
                <c:pt idx="56">
                  <c:v>244.76</c:v>
                </c:pt>
                <c:pt idx="57">
                  <c:v>245.71</c:v>
                </c:pt>
                <c:pt idx="58">
                  <c:v>246.67</c:v>
                </c:pt>
                <c:pt idx="59">
                  <c:v>247.62</c:v>
                </c:pt>
                <c:pt idx="60">
                  <c:v>248.57</c:v>
                </c:pt>
                <c:pt idx="61">
                  <c:v>249.52</c:v>
                </c:pt>
                <c:pt idx="62">
                  <c:v>250.48</c:v>
                </c:pt>
                <c:pt idx="63">
                  <c:v>251.43</c:v>
                </c:pt>
                <c:pt idx="64">
                  <c:v>252.38</c:v>
                </c:pt>
                <c:pt idx="65">
                  <c:v>253.33</c:v>
                </c:pt>
                <c:pt idx="66">
                  <c:v>254.29</c:v>
                </c:pt>
                <c:pt idx="67">
                  <c:v>255.24</c:v>
                </c:pt>
                <c:pt idx="68">
                  <c:v>256.19</c:v>
                </c:pt>
                <c:pt idx="69">
                  <c:v>257.14</c:v>
                </c:pt>
                <c:pt idx="70">
                  <c:v>258.10000000000002</c:v>
                </c:pt>
                <c:pt idx="71">
                  <c:v>259.05</c:v>
                </c:pt>
                <c:pt idx="72">
                  <c:v>260</c:v>
                </c:pt>
                <c:pt idx="73">
                  <c:v>260.95</c:v>
                </c:pt>
                <c:pt idx="74">
                  <c:v>261.89999999999998</c:v>
                </c:pt>
                <c:pt idx="75">
                  <c:v>262.86</c:v>
                </c:pt>
                <c:pt idx="76">
                  <c:v>263.81</c:v>
                </c:pt>
                <c:pt idx="77">
                  <c:v>264.76</c:v>
                </c:pt>
                <c:pt idx="78">
                  <c:v>265.70999999999998</c:v>
                </c:pt>
                <c:pt idx="79">
                  <c:v>266.67</c:v>
                </c:pt>
                <c:pt idx="80">
                  <c:v>267.62</c:v>
                </c:pt>
                <c:pt idx="81">
                  <c:v>268.57</c:v>
                </c:pt>
                <c:pt idx="82">
                  <c:v>269.52</c:v>
                </c:pt>
                <c:pt idx="83">
                  <c:v>270.48</c:v>
                </c:pt>
                <c:pt idx="84">
                  <c:v>271.43</c:v>
                </c:pt>
                <c:pt idx="85">
                  <c:v>272.38</c:v>
                </c:pt>
                <c:pt idx="86">
                  <c:v>273.33</c:v>
                </c:pt>
                <c:pt idx="87">
                  <c:v>274.29000000000002</c:v>
                </c:pt>
                <c:pt idx="88">
                  <c:v>275.24</c:v>
                </c:pt>
                <c:pt idx="89">
                  <c:v>276.19</c:v>
                </c:pt>
                <c:pt idx="90">
                  <c:v>277.14</c:v>
                </c:pt>
                <c:pt idx="91">
                  <c:v>278.10000000000002</c:v>
                </c:pt>
                <c:pt idx="92">
                  <c:v>279.05</c:v>
                </c:pt>
                <c:pt idx="93">
                  <c:v>280</c:v>
                </c:pt>
                <c:pt idx="94">
                  <c:v>280.95</c:v>
                </c:pt>
                <c:pt idx="95">
                  <c:v>281.89999999999998</c:v>
                </c:pt>
                <c:pt idx="96">
                  <c:v>282.86</c:v>
                </c:pt>
                <c:pt idx="97">
                  <c:v>283.81</c:v>
                </c:pt>
                <c:pt idx="98">
                  <c:v>284.76</c:v>
                </c:pt>
                <c:pt idx="99">
                  <c:v>285.70999999999998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6-4D54-80DB-424FE19E8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265087"/>
        <c:axId val="1690266047"/>
      </c:scatterChart>
      <c:valAx>
        <c:axId val="169026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eps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6047"/>
        <c:crosses val="autoZero"/>
        <c:crossBetween val="midCat"/>
      </c:valAx>
      <c:valAx>
        <c:axId val="16902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von mises</a:t>
                </a:r>
                <a:r>
                  <a:rPr lang="en-US" altLang="ja-JP" baseline="0"/>
                  <a:t> stress[MPa]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8239209201047908E-2"/>
                  <c:y val="0.2013358732892810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ja-JP" sz="1400" baseline="0"/>
                      <a:t>y = 10000x + 200</a:t>
                    </a:r>
                    <a:endParaRPr lang="en-US" altLang="ja-JP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'RES_1elem (2)'!$D$11:$D$101</c:f>
              <c:numCache>
                <c:formatCode>General</c:formatCode>
                <c:ptCount val="91"/>
                <c:pt idx="0">
                  <c:v>2.3494000000000002E-19</c:v>
                </c:pt>
                <c:pt idx="1">
                  <c:v>9.5237999999999999E-5</c:v>
                </c:pt>
                <c:pt idx="2">
                  <c:v>1.9048000000000001E-4</c:v>
                </c:pt>
                <c:pt idx="3">
                  <c:v>2.8571E-4</c:v>
                </c:pt>
                <c:pt idx="4">
                  <c:v>3.8095000000000002E-4</c:v>
                </c:pt>
                <c:pt idx="5">
                  <c:v>4.7618999999999998E-4</c:v>
                </c:pt>
                <c:pt idx="6">
                  <c:v>5.7143000000000005E-4</c:v>
                </c:pt>
                <c:pt idx="7">
                  <c:v>6.6666999999999996E-4</c:v>
                </c:pt>
                <c:pt idx="8">
                  <c:v>7.6190000000000003E-4</c:v>
                </c:pt>
                <c:pt idx="9">
                  <c:v>8.5714000000000005E-4</c:v>
                </c:pt>
                <c:pt idx="10">
                  <c:v>9.5237999999999996E-4</c:v>
                </c:pt>
                <c:pt idx="11">
                  <c:v>1.0476000000000001E-3</c:v>
                </c:pt>
                <c:pt idx="12">
                  <c:v>1.1429000000000001E-3</c:v>
                </c:pt>
                <c:pt idx="13">
                  <c:v>1.2381E-3</c:v>
                </c:pt>
                <c:pt idx="14">
                  <c:v>1.3332999999999999E-3</c:v>
                </c:pt>
                <c:pt idx="15">
                  <c:v>1.4285999999999999E-3</c:v>
                </c:pt>
                <c:pt idx="16">
                  <c:v>1.5238000000000001E-3</c:v>
                </c:pt>
                <c:pt idx="17">
                  <c:v>1.619E-3</c:v>
                </c:pt>
                <c:pt idx="18">
                  <c:v>1.7143E-3</c:v>
                </c:pt>
                <c:pt idx="19">
                  <c:v>1.8094999999999999E-3</c:v>
                </c:pt>
                <c:pt idx="20">
                  <c:v>1.9047999999999999E-3</c:v>
                </c:pt>
                <c:pt idx="21">
                  <c:v>2E-3</c:v>
                </c:pt>
                <c:pt idx="22">
                  <c:v>2.0952000000000002E-3</c:v>
                </c:pt>
                <c:pt idx="23">
                  <c:v>2.1905000000000002E-3</c:v>
                </c:pt>
                <c:pt idx="24">
                  <c:v>2.2856999999999999E-3</c:v>
                </c:pt>
                <c:pt idx="25">
                  <c:v>2.3809999999999999E-3</c:v>
                </c:pt>
                <c:pt idx="26">
                  <c:v>2.4762E-3</c:v>
                </c:pt>
                <c:pt idx="27">
                  <c:v>2.5714000000000002E-3</c:v>
                </c:pt>
                <c:pt idx="28">
                  <c:v>2.6667000000000001E-3</c:v>
                </c:pt>
                <c:pt idx="29">
                  <c:v>2.7618999999999999E-3</c:v>
                </c:pt>
                <c:pt idx="30">
                  <c:v>2.8571E-3</c:v>
                </c:pt>
                <c:pt idx="31">
                  <c:v>2.9524E-3</c:v>
                </c:pt>
                <c:pt idx="32">
                  <c:v>3.0476000000000001E-3</c:v>
                </c:pt>
                <c:pt idx="33">
                  <c:v>3.1429000000000001E-3</c:v>
                </c:pt>
                <c:pt idx="34">
                  <c:v>3.2380999999999998E-3</c:v>
                </c:pt>
                <c:pt idx="35">
                  <c:v>3.3333E-3</c:v>
                </c:pt>
                <c:pt idx="36">
                  <c:v>3.4286E-3</c:v>
                </c:pt>
                <c:pt idx="37">
                  <c:v>3.5238000000000001E-3</c:v>
                </c:pt>
                <c:pt idx="38">
                  <c:v>3.6189999999999998E-3</c:v>
                </c:pt>
                <c:pt idx="39">
                  <c:v>3.7142999999999998E-3</c:v>
                </c:pt>
                <c:pt idx="40">
                  <c:v>3.8095E-3</c:v>
                </c:pt>
                <c:pt idx="41">
                  <c:v>3.9047999999999999E-3</c:v>
                </c:pt>
                <c:pt idx="42">
                  <c:v>4.0000000000000001E-3</c:v>
                </c:pt>
                <c:pt idx="43">
                  <c:v>4.0952000000000002E-3</c:v>
                </c:pt>
                <c:pt idx="44">
                  <c:v>4.1904999999999998E-3</c:v>
                </c:pt>
                <c:pt idx="45">
                  <c:v>4.2856999999999999E-3</c:v>
                </c:pt>
                <c:pt idx="46">
                  <c:v>4.3810000000000003E-3</c:v>
                </c:pt>
                <c:pt idx="47">
                  <c:v>4.4761999999999996E-3</c:v>
                </c:pt>
                <c:pt idx="48">
                  <c:v>4.5713999999999998E-3</c:v>
                </c:pt>
                <c:pt idx="49">
                  <c:v>4.6667000000000002E-3</c:v>
                </c:pt>
                <c:pt idx="50">
                  <c:v>4.7619000000000003E-3</c:v>
                </c:pt>
                <c:pt idx="51">
                  <c:v>4.8570999999999996E-3</c:v>
                </c:pt>
                <c:pt idx="52">
                  <c:v>4.9524E-3</c:v>
                </c:pt>
                <c:pt idx="53">
                  <c:v>5.0476000000000002E-3</c:v>
                </c:pt>
                <c:pt idx="54">
                  <c:v>5.1428999999999997E-3</c:v>
                </c:pt>
                <c:pt idx="55">
                  <c:v>5.2380999999999999E-3</c:v>
                </c:pt>
                <c:pt idx="56">
                  <c:v>5.3333E-3</c:v>
                </c:pt>
                <c:pt idx="57">
                  <c:v>5.4285999999999996E-3</c:v>
                </c:pt>
                <c:pt idx="58">
                  <c:v>5.5237999999999997E-3</c:v>
                </c:pt>
                <c:pt idx="59">
                  <c:v>5.6189999999999999E-3</c:v>
                </c:pt>
                <c:pt idx="60">
                  <c:v>5.7143000000000003E-3</c:v>
                </c:pt>
                <c:pt idx="61">
                  <c:v>5.8095000000000004E-3</c:v>
                </c:pt>
                <c:pt idx="62">
                  <c:v>5.9048E-3</c:v>
                </c:pt>
                <c:pt idx="63">
                  <c:v>6.0000000000000001E-3</c:v>
                </c:pt>
                <c:pt idx="64">
                  <c:v>6.0952000000000003E-3</c:v>
                </c:pt>
                <c:pt idx="65">
                  <c:v>6.1904999999999998E-3</c:v>
                </c:pt>
                <c:pt idx="66">
                  <c:v>6.2857E-3</c:v>
                </c:pt>
                <c:pt idx="67">
                  <c:v>6.3810000000000004E-3</c:v>
                </c:pt>
                <c:pt idx="68">
                  <c:v>6.4761999999999997E-3</c:v>
                </c:pt>
                <c:pt idx="69">
                  <c:v>6.5713999999999998E-3</c:v>
                </c:pt>
                <c:pt idx="70">
                  <c:v>6.6667000000000002E-3</c:v>
                </c:pt>
                <c:pt idx="71">
                  <c:v>6.7619000000000004E-3</c:v>
                </c:pt>
                <c:pt idx="72">
                  <c:v>6.8570999999999997E-3</c:v>
                </c:pt>
                <c:pt idx="73">
                  <c:v>6.9524000000000001E-3</c:v>
                </c:pt>
                <c:pt idx="74">
                  <c:v>7.0476000000000002E-3</c:v>
                </c:pt>
                <c:pt idx="75">
                  <c:v>7.1428999999999998E-3</c:v>
                </c:pt>
                <c:pt idx="76">
                  <c:v>7.2380999999999999E-3</c:v>
                </c:pt>
                <c:pt idx="77">
                  <c:v>7.3333000000000001E-3</c:v>
                </c:pt>
                <c:pt idx="78">
                  <c:v>7.4285999999999996E-3</c:v>
                </c:pt>
                <c:pt idx="79">
                  <c:v>7.5237999999999998E-3</c:v>
                </c:pt>
                <c:pt idx="80">
                  <c:v>7.6189999999999999E-3</c:v>
                </c:pt>
                <c:pt idx="81">
                  <c:v>7.7143000000000003E-3</c:v>
                </c:pt>
                <c:pt idx="82">
                  <c:v>7.8094999999999996E-3</c:v>
                </c:pt>
                <c:pt idx="83">
                  <c:v>7.9048E-3</c:v>
                </c:pt>
                <c:pt idx="84">
                  <c:v>8.0000000000000002E-3</c:v>
                </c:pt>
                <c:pt idx="85">
                  <c:v>8.0952000000000003E-3</c:v>
                </c:pt>
                <c:pt idx="86">
                  <c:v>8.1904999999999999E-3</c:v>
                </c:pt>
                <c:pt idx="87">
                  <c:v>8.2857E-3</c:v>
                </c:pt>
                <c:pt idx="88">
                  <c:v>8.3809999999999996E-3</c:v>
                </c:pt>
                <c:pt idx="89">
                  <c:v>8.4761999999999997E-3</c:v>
                </c:pt>
                <c:pt idx="90">
                  <c:v>8.5713999999999999E-3</c:v>
                </c:pt>
              </c:numCache>
            </c:numRef>
          </c:xVal>
          <c:yVal>
            <c:numRef>
              <c:f>'RES_1elem (2)'!$C$11:$C$101</c:f>
              <c:numCache>
                <c:formatCode>General</c:formatCode>
                <c:ptCount val="91"/>
                <c:pt idx="0">
                  <c:v>200</c:v>
                </c:pt>
                <c:pt idx="1">
                  <c:v>200.95</c:v>
                </c:pt>
                <c:pt idx="2">
                  <c:v>201.9</c:v>
                </c:pt>
                <c:pt idx="3">
                  <c:v>202.86</c:v>
                </c:pt>
                <c:pt idx="4">
                  <c:v>203.81</c:v>
                </c:pt>
                <c:pt idx="5">
                  <c:v>204.76</c:v>
                </c:pt>
                <c:pt idx="6">
                  <c:v>205.71</c:v>
                </c:pt>
                <c:pt idx="7">
                  <c:v>206.67</c:v>
                </c:pt>
                <c:pt idx="8">
                  <c:v>207.62</c:v>
                </c:pt>
                <c:pt idx="9">
                  <c:v>208.57</c:v>
                </c:pt>
                <c:pt idx="10">
                  <c:v>209.52</c:v>
                </c:pt>
                <c:pt idx="11">
                  <c:v>210.48</c:v>
                </c:pt>
                <c:pt idx="12">
                  <c:v>211.43</c:v>
                </c:pt>
                <c:pt idx="13">
                  <c:v>212.38</c:v>
                </c:pt>
                <c:pt idx="14">
                  <c:v>213.33</c:v>
                </c:pt>
                <c:pt idx="15">
                  <c:v>214.29</c:v>
                </c:pt>
                <c:pt idx="16">
                  <c:v>215.24</c:v>
                </c:pt>
                <c:pt idx="17">
                  <c:v>216.19</c:v>
                </c:pt>
                <c:pt idx="18">
                  <c:v>217.14</c:v>
                </c:pt>
                <c:pt idx="19">
                  <c:v>218.1</c:v>
                </c:pt>
                <c:pt idx="20">
                  <c:v>219.05</c:v>
                </c:pt>
                <c:pt idx="21">
                  <c:v>220</c:v>
                </c:pt>
                <c:pt idx="22">
                  <c:v>220.95</c:v>
                </c:pt>
                <c:pt idx="23">
                  <c:v>221.9</c:v>
                </c:pt>
                <c:pt idx="24">
                  <c:v>222.86</c:v>
                </c:pt>
                <c:pt idx="25">
                  <c:v>223.81</c:v>
                </c:pt>
                <c:pt idx="26">
                  <c:v>224.76</c:v>
                </c:pt>
                <c:pt idx="27">
                  <c:v>225.71</c:v>
                </c:pt>
                <c:pt idx="28">
                  <c:v>226.67</c:v>
                </c:pt>
                <c:pt idx="29">
                  <c:v>227.62</c:v>
                </c:pt>
                <c:pt idx="30">
                  <c:v>228.57</c:v>
                </c:pt>
                <c:pt idx="31">
                  <c:v>229.52</c:v>
                </c:pt>
                <c:pt idx="32">
                  <c:v>230.48</c:v>
                </c:pt>
                <c:pt idx="33">
                  <c:v>231.43</c:v>
                </c:pt>
                <c:pt idx="34">
                  <c:v>232.38</c:v>
                </c:pt>
                <c:pt idx="35">
                  <c:v>233.33</c:v>
                </c:pt>
                <c:pt idx="36">
                  <c:v>234.29</c:v>
                </c:pt>
                <c:pt idx="37">
                  <c:v>235.24</c:v>
                </c:pt>
                <c:pt idx="38">
                  <c:v>236.19</c:v>
                </c:pt>
                <c:pt idx="39">
                  <c:v>237.14</c:v>
                </c:pt>
                <c:pt idx="40">
                  <c:v>238.1</c:v>
                </c:pt>
                <c:pt idx="41">
                  <c:v>239.05</c:v>
                </c:pt>
                <c:pt idx="42">
                  <c:v>240</c:v>
                </c:pt>
                <c:pt idx="43">
                  <c:v>240.95</c:v>
                </c:pt>
                <c:pt idx="44">
                  <c:v>241.9</c:v>
                </c:pt>
                <c:pt idx="45">
                  <c:v>242.86</c:v>
                </c:pt>
                <c:pt idx="46">
                  <c:v>243.81</c:v>
                </c:pt>
                <c:pt idx="47">
                  <c:v>244.76</c:v>
                </c:pt>
                <c:pt idx="48">
                  <c:v>245.71</c:v>
                </c:pt>
                <c:pt idx="49">
                  <c:v>246.67</c:v>
                </c:pt>
                <c:pt idx="50">
                  <c:v>247.62</c:v>
                </c:pt>
                <c:pt idx="51">
                  <c:v>248.57</c:v>
                </c:pt>
                <c:pt idx="52">
                  <c:v>249.52</c:v>
                </c:pt>
                <c:pt idx="53">
                  <c:v>250.48</c:v>
                </c:pt>
                <c:pt idx="54">
                  <c:v>251.43</c:v>
                </c:pt>
                <c:pt idx="55">
                  <c:v>252.38</c:v>
                </c:pt>
                <c:pt idx="56">
                  <c:v>253.33</c:v>
                </c:pt>
                <c:pt idx="57">
                  <c:v>254.29</c:v>
                </c:pt>
                <c:pt idx="58">
                  <c:v>255.24</c:v>
                </c:pt>
                <c:pt idx="59">
                  <c:v>256.19</c:v>
                </c:pt>
                <c:pt idx="60">
                  <c:v>257.14</c:v>
                </c:pt>
                <c:pt idx="61">
                  <c:v>258.10000000000002</c:v>
                </c:pt>
                <c:pt idx="62">
                  <c:v>259.05</c:v>
                </c:pt>
                <c:pt idx="63">
                  <c:v>260</c:v>
                </c:pt>
                <c:pt idx="64">
                  <c:v>260.95</c:v>
                </c:pt>
                <c:pt idx="65">
                  <c:v>261.89999999999998</c:v>
                </c:pt>
                <c:pt idx="66">
                  <c:v>262.86</c:v>
                </c:pt>
                <c:pt idx="67">
                  <c:v>263.81</c:v>
                </c:pt>
                <c:pt idx="68">
                  <c:v>264.76</c:v>
                </c:pt>
                <c:pt idx="69">
                  <c:v>265.70999999999998</c:v>
                </c:pt>
                <c:pt idx="70">
                  <c:v>266.67</c:v>
                </c:pt>
                <c:pt idx="71">
                  <c:v>267.62</c:v>
                </c:pt>
                <c:pt idx="72">
                  <c:v>268.57</c:v>
                </c:pt>
                <c:pt idx="73">
                  <c:v>269.52</c:v>
                </c:pt>
                <c:pt idx="74">
                  <c:v>270.48</c:v>
                </c:pt>
                <c:pt idx="75">
                  <c:v>271.43</c:v>
                </c:pt>
                <c:pt idx="76">
                  <c:v>272.38</c:v>
                </c:pt>
                <c:pt idx="77">
                  <c:v>273.33</c:v>
                </c:pt>
                <c:pt idx="78">
                  <c:v>274.29000000000002</c:v>
                </c:pt>
                <c:pt idx="79">
                  <c:v>275.24</c:v>
                </c:pt>
                <c:pt idx="80">
                  <c:v>276.19</c:v>
                </c:pt>
                <c:pt idx="81">
                  <c:v>277.14</c:v>
                </c:pt>
                <c:pt idx="82">
                  <c:v>278.10000000000002</c:v>
                </c:pt>
                <c:pt idx="83">
                  <c:v>279.05</c:v>
                </c:pt>
                <c:pt idx="84">
                  <c:v>280</c:v>
                </c:pt>
                <c:pt idx="85">
                  <c:v>280.95</c:v>
                </c:pt>
                <c:pt idx="86">
                  <c:v>281.89999999999998</c:v>
                </c:pt>
                <c:pt idx="87">
                  <c:v>282.86</c:v>
                </c:pt>
                <c:pt idx="88">
                  <c:v>283.81</c:v>
                </c:pt>
                <c:pt idx="89">
                  <c:v>284.76</c:v>
                </c:pt>
                <c:pt idx="90">
                  <c:v>285.70999999999998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AD-455A-ADD3-CCDE7911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265087"/>
        <c:axId val="1690266047"/>
      </c:scatterChart>
      <c:valAx>
        <c:axId val="169026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eps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6047"/>
        <c:crosses val="autoZero"/>
        <c:crossBetween val="midCat"/>
      </c:valAx>
      <c:valAx>
        <c:axId val="16902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von mises  stress[MPa]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'RES_1elem (2)'!$F$2:$F$11</c:f>
              <c:numCache>
                <c:formatCode>General</c:formatCode>
                <c:ptCount val="10"/>
                <c:pt idx="0">
                  <c:v>1E-4</c:v>
                </c:pt>
                <c:pt idx="1">
                  <c:v>2.0000000000000001E-4</c:v>
                </c:pt>
                <c:pt idx="2">
                  <c:v>2.9999999999999997E-4</c:v>
                </c:pt>
                <c:pt idx="3">
                  <c:v>4.0000000000000002E-4</c:v>
                </c:pt>
                <c:pt idx="4">
                  <c:v>5.0000000000000001E-4</c:v>
                </c:pt>
                <c:pt idx="5">
                  <c:v>5.9999999999999995E-4</c:v>
                </c:pt>
                <c:pt idx="6">
                  <c:v>6.9999999999999999E-4</c:v>
                </c:pt>
                <c:pt idx="7">
                  <c:v>8.0000000000000004E-4</c:v>
                </c:pt>
                <c:pt idx="8">
                  <c:v>8.9999999999999998E-4</c:v>
                </c:pt>
                <c:pt idx="9">
                  <c:v>1E-3</c:v>
                </c:pt>
              </c:numCache>
            </c:numRef>
          </c:xVal>
          <c:yVal>
            <c:numRef>
              <c:f>'RES_1elem (2)'!$E$2:$E$11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1-4822-AE5E-2B5DCA4F4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265087"/>
        <c:axId val="1690266047"/>
      </c:scatterChart>
      <c:valAx>
        <c:axId val="169026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yy</a:t>
                </a:r>
                <a:r>
                  <a:rPr lang="en-US" altLang="ja-JP" baseline="0"/>
                  <a:t> strain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6047"/>
        <c:crosses val="autoZero"/>
        <c:crossBetween val="midCat"/>
      </c:valAx>
      <c:valAx>
        <c:axId val="16902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yy</a:t>
                </a:r>
                <a:r>
                  <a:rPr lang="en-US" altLang="ja-JP" baseline="0"/>
                  <a:t> stress[MPa]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26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baseline="0">
                <a:effectLst/>
              </a:rPr>
              <a:t>RESIDUAL</a:t>
            </a:r>
            <a:r>
              <a:rPr lang="en-US" altLang="ja-JP" sz="1400" b="0" i="0" u="none" strike="noStrike" baseline="0"/>
              <a:t>  in </a:t>
            </a:r>
            <a:r>
              <a:rPr lang="en-US" altLang="ja-JP"/>
              <a:t>Step11/100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6.2993930178617125E-3"/>
                  <c:y val="-5.855329030334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56-4FF6-A54A-D36DCF17E5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step11_RESI!$A$2:$A$4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step11_RESI!$B$2:$B$4</c:f>
              <c:numCache>
                <c:formatCode>0.00E+00</c:formatCode>
                <c:ptCount val="3"/>
                <c:pt idx="0">
                  <c:v>9.6062000000000005E-3</c:v>
                </c:pt>
                <c:pt idx="1">
                  <c:v>1.1522000000000001E-5</c:v>
                </c:pt>
                <c:pt idx="2">
                  <c:v>3.8359999999999997E-11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6-4FF6-A54A-D36DCF17E591}"/>
            </c:ext>
          </c:extLst>
        </c:ser>
        <c:ser>
          <c:idx val="1"/>
          <c:order val="1"/>
          <c:tx>
            <c:v>TOL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step11_RESI!$A$2:$A$4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step11_RESI!$C$2:$C$4</c:f>
              <c:numCache>
                <c:formatCode>General</c:formatCode>
                <c:ptCount val="3"/>
                <c:pt idx="0">
                  <c:v>1E-10</c:v>
                </c:pt>
                <c:pt idx="1">
                  <c:v>1E-10</c:v>
                </c:pt>
                <c:pt idx="2">
                  <c:v>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56-4FF6-A54A-D36DCF17E5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90338527"/>
        <c:axId val="1690339007"/>
      </c:scatterChart>
      <c:valAx>
        <c:axId val="169033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Iter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339007"/>
        <c:crosses val="autoZero"/>
        <c:crossBetween val="midCat"/>
        <c:majorUnit val="1"/>
      </c:valAx>
      <c:valAx>
        <c:axId val="16903390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RESIDUAL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33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</xdr:row>
      <xdr:rowOff>0</xdr:rowOff>
    </xdr:from>
    <xdr:to>
      <xdr:col>11</xdr:col>
      <xdr:colOff>3627846</xdr:colOff>
      <xdr:row>25</xdr:row>
      <xdr:rowOff>147681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AB859CB-242B-4D87-9D3E-55FFBD3ED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442913</xdr:colOff>
      <xdr:row>12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0B58538-D1FF-4863-A1CF-C2AEDBDA1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21</xdr:col>
      <xdr:colOff>442914</xdr:colOff>
      <xdr:row>12</xdr:row>
      <xdr:rowOff>123826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AFB170D-2AFF-4DE3-A0B8-FDB5F077A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442913</xdr:colOff>
      <xdr:row>25</xdr:row>
      <xdr:rowOff>123824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FD6170C-FF48-44B5-B248-C4EB9DC27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14</xdr:row>
      <xdr:rowOff>0</xdr:rowOff>
    </xdr:from>
    <xdr:to>
      <xdr:col>21</xdr:col>
      <xdr:colOff>442912</xdr:colOff>
      <xdr:row>25</xdr:row>
      <xdr:rowOff>123824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21F110E9-A46B-4C1E-9FAC-493E5862B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28</xdr:col>
      <xdr:colOff>442913</xdr:colOff>
      <xdr:row>12</xdr:row>
      <xdr:rowOff>123825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811F7AD5-99D0-4907-8536-2F619E768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419100</xdr:colOff>
      <xdr:row>6</xdr:row>
      <xdr:rowOff>0</xdr:rowOff>
    </xdr:from>
    <xdr:to>
      <xdr:col>18</xdr:col>
      <xdr:colOff>315076</xdr:colOff>
      <xdr:row>13</xdr:row>
      <xdr:rowOff>181233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E870258-A195-9F48-38DA-539D5AC0E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1428750"/>
          <a:ext cx="5382376" cy="1848108"/>
        </a:xfrm>
        <a:prstGeom prst="rect">
          <a:avLst/>
        </a:prstGeom>
      </xdr:spPr>
    </xdr:pic>
    <xdr:clientData/>
  </xdr:twoCellAnchor>
  <xdr:twoCellAnchor>
    <xdr:from>
      <xdr:col>1</xdr:col>
      <xdr:colOff>298076</xdr:colOff>
      <xdr:row>7</xdr:row>
      <xdr:rowOff>174531</xdr:rowOff>
    </xdr:from>
    <xdr:to>
      <xdr:col>8</xdr:col>
      <xdr:colOff>69476</xdr:colOff>
      <xdr:row>19</xdr:row>
      <xdr:rowOff>60232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8241F4E-8D37-A872-5A72-737E03C7C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5A68442-2336-4687-974B-79841E2F93DD}" autoFormatId="20" applyNumberFormats="0" applyBorderFormats="0" applyFontFormats="0" applyPatternFormats="0" applyAlignmentFormats="0" applyWidthHeightFormats="0">
  <queryTableRefresh nextId="8" unboundColumnsRight="1">
    <queryTableFields count="7">
      <queryTableField id="1" name="step" tableColumnId="1"/>
      <queryTableField id="2" name="element" tableColumnId="2"/>
      <queryTableField id="3" name="von" tableColumnId="3"/>
      <queryTableField id="4" name="eps" tableColumnId="4"/>
      <queryTableField id="5" name="yystress" tableColumnId="5"/>
      <queryTableField id="6" name="yystrain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A31485-7637-4B52-86A8-48063925D0ED}" name="RES_1elem__2" displayName="RES_1elem__2" ref="A1:G101" tableType="queryTable" totalsRowShown="0">
  <autoFilter ref="A1:G101" xr:uid="{14A31485-7637-4B52-86A8-48063925D0ED}"/>
  <tableColumns count="7">
    <tableColumn id="1" xr3:uid="{6E165DBD-FDDF-4FD5-AB2C-BA84D6A6EE5F}" uniqueName="1" name="step" queryTableFieldId="1"/>
    <tableColumn id="2" xr3:uid="{37BD60AB-8787-4991-8EB1-1A904DEE4BD7}" uniqueName="2" name="element" queryTableFieldId="2"/>
    <tableColumn id="3" xr3:uid="{B5BCB56A-3FCC-4800-9F1D-B57C509CBF76}" uniqueName="3" name="von" queryTableFieldId="3"/>
    <tableColumn id="4" xr3:uid="{68569726-F387-4CFF-ACF1-E1F08D5C1247}" uniqueName="4" name="eps" queryTableFieldId="4"/>
    <tableColumn id="5" xr3:uid="{2DFB4600-EF46-41EB-8476-7A77E231E267}" uniqueName="5" name="yystress" queryTableFieldId="5"/>
    <tableColumn id="6" xr3:uid="{4A6BE9C3-16BE-47DC-AA2F-922D15853F9E}" uniqueName="6" name="yystrain" queryTableFieldId="6"/>
    <tableColumn id="7" xr3:uid="{8E038F0F-78F8-46A1-A2E7-E4674B555FAD}" uniqueName="7" name="yystrain-eps" queryTableFieldId="7" dataDxfId="0">
      <calculatedColumnFormula>F2-D2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0CFD-43F4-4932-A253-D71046D8F1AF}">
  <dimension ref="A1:L103"/>
  <sheetViews>
    <sheetView tabSelected="1" topLeftCell="D1" zoomScale="85" zoomScaleNormal="85" workbookViewId="0">
      <selection activeCell="L31" sqref="L31"/>
    </sheetView>
  </sheetViews>
  <sheetFormatPr defaultRowHeight="18.75" x14ac:dyDescent="0.4"/>
  <cols>
    <col min="2" max="2" width="22.625" style="4" customWidth="1"/>
    <col min="3" max="3" width="7.5" bestFit="1" customWidth="1"/>
    <col min="4" max="4" width="14" style="4" bestFit="1" customWidth="1"/>
    <col min="5" max="5" width="16" bestFit="1" customWidth="1"/>
    <col min="6" max="6" width="12.75" style="3" bestFit="1" customWidth="1"/>
    <col min="7" max="7" width="11.375" style="3" customWidth="1"/>
    <col min="8" max="9" width="11.875" bestFit="1" customWidth="1"/>
    <col min="10" max="10" width="12.75" bestFit="1" customWidth="1"/>
    <col min="11" max="11" width="5.5" bestFit="1" customWidth="1"/>
    <col min="12" max="12" width="56.5" bestFit="1" customWidth="1"/>
  </cols>
  <sheetData>
    <row r="1" spans="1:12" x14ac:dyDescent="0.4">
      <c r="E1" t="s">
        <v>18</v>
      </c>
      <c r="F1" t="s">
        <v>19</v>
      </c>
      <c r="G1" s="3" t="s">
        <v>3</v>
      </c>
      <c r="H1" s="3" t="s">
        <v>7</v>
      </c>
    </row>
    <row r="2" spans="1:12" x14ac:dyDescent="0.4">
      <c r="B2" s="4" t="s">
        <v>17</v>
      </c>
      <c r="C2" t="s">
        <v>16</v>
      </c>
      <c r="D2" s="4" t="s">
        <v>14</v>
      </c>
      <c r="E2" t="s">
        <v>2</v>
      </c>
      <c r="F2" t="s">
        <v>2</v>
      </c>
      <c r="G2" s="3" t="s">
        <v>2</v>
      </c>
      <c r="H2" s="3" t="s">
        <v>2</v>
      </c>
    </row>
    <row r="3" spans="1:12" x14ac:dyDescent="0.4">
      <c r="A3">
        <v>0</v>
      </c>
      <c r="B3" s="4">
        <v>0</v>
      </c>
      <c r="C3" s="2">
        <f>$J$3*B3</f>
        <v>0</v>
      </c>
      <c r="D3" s="4">
        <v>0</v>
      </c>
      <c r="E3">
        <f>$J$4+$J$5*D3</f>
        <v>200</v>
      </c>
      <c r="F3" s="1" t="e">
        <f>$J$4+$J$5*#REF!</f>
        <v>#REF!</v>
      </c>
      <c r="G3" s="3">
        <f>E3+($J$6-$J$4)*(1-EXP(-$J$7*D3))</f>
        <v>200</v>
      </c>
      <c r="H3" s="3">
        <f>$J$8*($J$9+D3)^$J$10</f>
        <v>200.00000004607833</v>
      </c>
      <c r="I3" t="s">
        <v>15</v>
      </c>
      <c r="J3">
        <v>200000</v>
      </c>
      <c r="K3" t="s">
        <v>9</v>
      </c>
    </row>
    <row r="4" spans="1:12" x14ac:dyDescent="0.4">
      <c r="A4">
        <v>1</v>
      </c>
      <c r="B4" s="4">
        <v>1E-4</v>
      </c>
      <c r="C4">
        <f t="shared" ref="C4:C67" si="0">$J$3*B4</f>
        <v>20</v>
      </c>
      <c r="D4" s="4">
        <f>A4/10000</f>
        <v>1E-4</v>
      </c>
      <c r="E4">
        <f t="shared" ref="E4:E67" si="1">$J$4+$J$5*D4</f>
        <v>201</v>
      </c>
      <c r="F4" s="1" t="e">
        <f>$J$4+$J$5*#REF!</f>
        <v>#REF!</v>
      </c>
      <c r="G4" s="3">
        <f t="shared" ref="G4:G67" si="2">E4+($J$6-$J$4)*(1-EXP(-$J$7*D4))</f>
        <v>201.2998500499875</v>
      </c>
      <c r="H4" s="3">
        <f t="shared" ref="H4:H67" si="3">$J$8*($J$9+D4)^$J$10</f>
        <v>201.44392575481075</v>
      </c>
      <c r="I4" t="s">
        <v>0</v>
      </c>
      <c r="J4">
        <v>200</v>
      </c>
      <c r="K4" t="s">
        <v>9</v>
      </c>
    </row>
    <row r="5" spans="1:12" x14ac:dyDescent="0.4">
      <c r="A5">
        <v>2</v>
      </c>
      <c r="B5" s="4">
        <v>2.0000000000000001E-4</v>
      </c>
      <c r="C5">
        <f t="shared" si="0"/>
        <v>40</v>
      </c>
      <c r="D5" s="4">
        <f>A5/10000</f>
        <v>2.0000000000000001E-4</v>
      </c>
      <c r="E5">
        <f t="shared" si="1"/>
        <v>202</v>
      </c>
      <c r="F5" s="1" t="e">
        <f>$J$4+$J$5*#REF!</f>
        <v>#REF!</v>
      </c>
      <c r="G5" s="3">
        <f t="shared" si="2"/>
        <v>202.59940039980009</v>
      </c>
      <c r="H5" s="3">
        <f t="shared" si="3"/>
        <v>202.83037455057908</v>
      </c>
      <c r="I5" t="s">
        <v>1</v>
      </c>
      <c r="J5">
        <v>10000</v>
      </c>
      <c r="K5" t="s">
        <v>9</v>
      </c>
    </row>
    <row r="6" spans="1:12" x14ac:dyDescent="0.4">
      <c r="A6">
        <v>3</v>
      </c>
      <c r="B6" s="4">
        <v>2.9999999999999997E-4</v>
      </c>
      <c r="C6">
        <f t="shared" si="0"/>
        <v>59.999999999999993</v>
      </c>
      <c r="D6" s="4">
        <f>A6/10000</f>
        <v>2.9999999999999997E-4</v>
      </c>
      <c r="E6">
        <f t="shared" si="1"/>
        <v>203</v>
      </c>
      <c r="F6" s="1" t="e">
        <f>$J$4+$J$5*#REF!</f>
        <v>#REF!</v>
      </c>
      <c r="G6" s="3">
        <f t="shared" si="2"/>
        <v>203.8986513489881</v>
      </c>
      <c r="H6" s="3">
        <f t="shared" si="3"/>
        <v>204.16409709670396</v>
      </c>
      <c r="I6" t="s">
        <v>4</v>
      </c>
      <c r="J6">
        <v>500</v>
      </c>
      <c r="K6" t="s">
        <v>9</v>
      </c>
      <c r="L6" t="s">
        <v>5</v>
      </c>
    </row>
    <row r="7" spans="1:12" x14ac:dyDescent="0.4">
      <c r="A7">
        <v>4</v>
      </c>
      <c r="B7" s="4">
        <v>4.0000000000000002E-4</v>
      </c>
      <c r="C7">
        <f t="shared" si="0"/>
        <v>80</v>
      </c>
      <c r="D7" s="4">
        <f>A7/10000</f>
        <v>4.0000000000000002E-4</v>
      </c>
      <c r="E7">
        <f t="shared" si="1"/>
        <v>204</v>
      </c>
      <c r="F7" s="1" t="e">
        <f>$J$4+$J$5*#REF!</f>
        <v>#REF!</v>
      </c>
      <c r="G7" s="3">
        <f t="shared" si="2"/>
        <v>205.19760319680256</v>
      </c>
      <c r="H7" s="3">
        <f t="shared" si="3"/>
        <v>205.44926516552948</v>
      </c>
      <c r="I7" t="s">
        <v>6</v>
      </c>
      <c r="J7">
        <v>10</v>
      </c>
    </row>
    <row r="8" spans="1:12" x14ac:dyDescent="0.4">
      <c r="A8">
        <v>5</v>
      </c>
      <c r="B8" s="4">
        <v>5.0000000000000001E-4</v>
      </c>
      <c r="C8">
        <f t="shared" si="0"/>
        <v>100</v>
      </c>
      <c r="D8" s="4">
        <f>A8/10000</f>
        <v>5.0000000000000001E-4</v>
      </c>
      <c r="E8">
        <f t="shared" si="1"/>
        <v>205</v>
      </c>
      <c r="F8" s="1" t="e">
        <f>$J$4+$J$5*#REF!</f>
        <v>#REF!</v>
      </c>
      <c r="G8" s="3">
        <f t="shared" si="2"/>
        <v>206.4962562421953</v>
      </c>
      <c r="H8" s="3">
        <f t="shared" si="3"/>
        <v>206.68956301961521</v>
      </c>
      <c r="I8" t="s">
        <v>8</v>
      </c>
      <c r="J8">
        <v>500</v>
      </c>
      <c r="K8" t="s">
        <v>9</v>
      </c>
      <c r="L8" t="s">
        <v>10</v>
      </c>
    </row>
    <row r="9" spans="1:12" x14ac:dyDescent="0.4">
      <c r="A9">
        <v>6</v>
      </c>
      <c r="B9" s="4">
        <v>5.9999999999999995E-4</v>
      </c>
      <c r="C9">
        <f t="shared" si="0"/>
        <v>119.99999999999999</v>
      </c>
      <c r="D9" s="4">
        <f>A9/10000</f>
        <v>5.9999999999999995E-4</v>
      </c>
      <c r="E9">
        <f t="shared" si="1"/>
        <v>206</v>
      </c>
      <c r="F9" s="1" t="e">
        <f>$J$4+$J$5*#REF!</f>
        <v>#REF!</v>
      </c>
      <c r="G9" s="3">
        <f t="shared" si="2"/>
        <v>207.79461078381942</v>
      </c>
      <c r="H9" s="3">
        <f t="shared" si="3"/>
        <v>207.88826133621043</v>
      </c>
      <c r="I9" t="s">
        <v>11</v>
      </c>
      <c r="J9">
        <v>2E-3</v>
      </c>
      <c r="L9" t="s">
        <v>10</v>
      </c>
    </row>
    <row r="10" spans="1:12" x14ac:dyDescent="0.4">
      <c r="A10">
        <v>7</v>
      </c>
      <c r="B10" s="4">
        <v>6.9999999999999999E-4</v>
      </c>
      <c r="C10">
        <f t="shared" si="0"/>
        <v>140</v>
      </c>
      <c r="D10" s="4">
        <f>A10/10000</f>
        <v>6.9999999999999999E-4</v>
      </c>
      <c r="E10">
        <f t="shared" si="1"/>
        <v>207</v>
      </c>
      <c r="F10" s="1" t="e">
        <f>$J$4+$J$5*#REF!</f>
        <v>#REF!</v>
      </c>
      <c r="G10" s="3">
        <f t="shared" si="2"/>
        <v>209.09266712002946</v>
      </c>
      <c r="H10" s="3">
        <f t="shared" si="3"/>
        <v>209.04827754521293</v>
      </c>
      <c r="I10" t="s">
        <v>12</v>
      </c>
      <c r="J10">
        <v>0.14744143430000001</v>
      </c>
      <c r="L10" t="s">
        <v>13</v>
      </c>
    </row>
    <row r="11" spans="1:12" x14ac:dyDescent="0.4">
      <c r="A11">
        <v>8</v>
      </c>
      <c r="B11" s="4">
        <v>8.0000000000000004E-4</v>
      </c>
      <c r="C11">
        <f t="shared" si="0"/>
        <v>160</v>
      </c>
      <c r="D11" s="4">
        <f>A11/10000</f>
        <v>8.0000000000000004E-4</v>
      </c>
      <c r="E11">
        <f t="shared" si="1"/>
        <v>208</v>
      </c>
      <c r="F11" s="1" t="e">
        <f>$J$4+$J$5*#REF!</f>
        <v>#REF!</v>
      </c>
      <c r="G11" s="3">
        <f t="shared" si="2"/>
        <v>210.39042554888181</v>
      </c>
      <c r="H11" s="3">
        <f t="shared" si="3"/>
        <v>210.17222548271744</v>
      </c>
    </row>
    <row r="12" spans="1:12" x14ac:dyDescent="0.4">
      <c r="A12">
        <v>9</v>
      </c>
      <c r="B12" s="4">
        <v>8.9999999999999998E-4</v>
      </c>
      <c r="C12">
        <f t="shared" si="0"/>
        <v>180</v>
      </c>
      <c r="D12" s="4">
        <f>A12/10000</f>
        <v>8.9999999999999998E-4</v>
      </c>
      <c r="E12">
        <f t="shared" si="1"/>
        <v>209</v>
      </c>
      <c r="F12" s="1" t="e">
        <f>$J$4+$J$5*#REF!</f>
        <v>#REF!</v>
      </c>
      <c r="G12" s="3">
        <f t="shared" si="2"/>
        <v>211.68788636813491</v>
      </c>
      <c r="H12" s="3">
        <f t="shared" si="3"/>
        <v>211.26245656191961</v>
      </c>
    </row>
    <row r="13" spans="1:12" x14ac:dyDescent="0.4">
      <c r="A13">
        <v>10</v>
      </c>
      <c r="B13" s="4">
        <v>1E-3</v>
      </c>
      <c r="C13">
        <f t="shared" si="0"/>
        <v>200</v>
      </c>
      <c r="D13" s="4">
        <f>A13/10000</f>
        <v>1E-3</v>
      </c>
      <c r="E13">
        <f t="shared" si="1"/>
        <v>210</v>
      </c>
      <c r="F13" s="1" t="e">
        <f>$J$4+$J$5*#REF!</f>
        <v>#REF!</v>
      </c>
      <c r="G13" s="3">
        <f t="shared" si="2"/>
        <v>212.98504987524956</v>
      </c>
      <c r="H13" s="3">
        <f t="shared" si="3"/>
        <v>212.32109414990472</v>
      </c>
    </row>
    <row r="14" spans="1:12" x14ac:dyDescent="0.4">
      <c r="A14">
        <v>11</v>
      </c>
      <c r="B14" s="4">
        <v>1.1000000000000001E-3</v>
      </c>
      <c r="C14">
        <f t="shared" si="0"/>
        <v>220</v>
      </c>
      <c r="D14" s="4">
        <f>A14/10000</f>
        <v>1.1000000000000001E-3</v>
      </c>
      <c r="E14">
        <f t="shared" si="1"/>
        <v>211</v>
      </c>
      <c r="F14" s="1" t="e">
        <f>$J$4+$J$5*#REF!</f>
        <v>#REF!</v>
      </c>
      <c r="G14" s="3">
        <f t="shared" si="2"/>
        <v>214.28191636738939</v>
      </c>
      <c r="H14" s="3">
        <f t="shared" si="3"/>
        <v>213.35006245821231</v>
      </c>
    </row>
    <row r="15" spans="1:12" x14ac:dyDescent="0.4">
      <c r="A15">
        <v>12</v>
      </c>
      <c r="B15" s="4">
        <v>1.1999999999999999E-3</v>
      </c>
      <c r="C15">
        <f t="shared" si="0"/>
        <v>239.99999999999997</v>
      </c>
      <c r="D15" s="4">
        <f>A15/10000</f>
        <v>1.1999999999999999E-3</v>
      </c>
      <c r="E15">
        <f t="shared" si="1"/>
        <v>212</v>
      </c>
      <c r="F15" s="1" t="e">
        <f>$J$4+$J$5*#REF!</f>
        <v>#REF!</v>
      </c>
      <c r="G15" s="3">
        <f t="shared" si="2"/>
        <v>215.57848614142085</v>
      </c>
      <c r="H15" s="3">
        <f t="shared" si="3"/>
        <v>214.35111096963456</v>
      </c>
    </row>
    <row r="16" spans="1:12" x14ac:dyDescent="0.4">
      <c r="A16">
        <v>13</v>
      </c>
      <c r="B16" s="4">
        <v>1.2999999999999999E-3</v>
      </c>
      <c r="C16">
        <f t="shared" si="0"/>
        <v>260</v>
      </c>
      <c r="D16" s="4">
        <f>A16/10000</f>
        <v>1.2999999999999999E-3</v>
      </c>
      <c r="E16">
        <f t="shared" si="1"/>
        <v>213</v>
      </c>
      <c r="F16" s="1" t="e">
        <f>$J$4+$J$5*#REF!</f>
        <v>#REF!</v>
      </c>
      <c r="G16" s="3">
        <f t="shared" si="2"/>
        <v>216.87475949391373</v>
      </c>
      <c r="H16" s="3">
        <f t="shared" si="3"/>
        <v>215.32583520746047</v>
      </c>
    </row>
    <row r="17" spans="1:8" x14ac:dyDescent="0.4">
      <c r="A17">
        <v>14</v>
      </c>
      <c r="B17" s="4">
        <v>1.4E-3</v>
      </c>
      <c r="C17">
        <f t="shared" si="0"/>
        <v>280</v>
      </c>
      <c r="D17" s="4">
        <f>A17/10000</f>
        <v>1.4E-3</v>
      </c>
      <c r="E17">
        <f t="shared" si="1"/>
        <v>214</v>
      </c>
      <c r="F17" s="1" t="e">
        <f>$J$4+$J$5*#REF!</f>
        <v>#REF!</v>
      </c>
      <c r="G17" s="3">
        <f t="shared" si="2"/>
        <v>218.17073672114142</v>
      </c>
      <c r="H17" s="3">
        <f t="shared" si="3"/>
        <v>216.27569448797402</v>
      </c>
    </row>
    <row r="18" spans="1:8" x14ac:dyDescent="0.4">
      <c r="A18">
        <v>15</v>
      </c>
      <c r="B18" s="4">
        <v>1.5E-3</v>
      </c>
      <c r="C18">
        <f t="shared" si="0"/>
        <v>300</v>
      </c>
      <c r="D18" s="4">
        <f>A18/10000</f>
        <v>1.5E-3</v>
      </c>
      <c r="E18">
        <f t="shared" si="1"/>
        <v>215</v>
      </c>
      <c r="F18" s="1" t="e">
        <f>$J$4+$J$5*#REF!</f>
        <v>#REF!</v>
      </c>
      <c r="G18" s="3">
        <f t="shared" si="2"/>
        <v>219.4664181190812</v>
      </c>
      <c r="H18" s="3">
        <f t="shared" si="3"/>
        <v>217.20202716937303</v>
      </c>
    </row>
    <row r="19" spans="1:8" x14ac:dyDescent="0.4">
      <c r="A19">
        <v>16</v>
      </c>
      <c r="B19" s="4">
        <v>1.6000000000000001E-3</v>
      </c>
      <c r="C19">
        <f t="shared" si="0"/>
        <v>320</v>
      </c>
      <c r="D19" s="4">
        <f>A19/10000</f>
        <v>1.6000000000000001E-3</v>
      </c>
      <c r="E19">
        <f t="shared" si="1"/>
        <v>216</v>
      </c>
      <c r="F19" s="1" t="e">
        <f>$J$4+$J$5*#REF!</f>
        <v>#REF!</v>
      </c>
      <c r="G19" s="3">
        <f t="shared" si="2"/>
        <v>220.76180398341447</v>
      </c>
      <c r="H19" s="3">
        <f t="shared" si="3"/>
        <v>218.10606381094584</v>
      </c>
    </row>
    <row r="20" spans="1:8" x14ac:dyDescent="0.4">
      <c r="A20">
        <v>17</v>
      </c>
      <c r="B20" s="4">
        <v>1.6999999999999999E-3</v>
      </c>
      <c r="C20">
        <f t="shared" si="0"/>
        <v>340</v>
      </c>
      <c r="D20" s="4">
        <f>A20/10000</f>
        <v>1.6999999999999999E-3</v>
      </c>
      <c r="E20">
        <f t="shared" si="1"/>
        <v>217</v>
      </c>
      <c r="F20" s="1" t="e">
        <f>$J$4+$J$5*#REF!</f>
        <v>#REF!</v>
      </c>
      <c r="G20" s="3">
        <f t="shared" si="2"/>
        <v>222.05689460952712</v>
      </c>
      <c r="H20" s="3">
        <f t="shared" si="3"/>
        <v>218.98893857844246</v>
      </c>
    </row>
    <row r="21" spans="1:8" x14ac:dyDescent="0.4">
      <c r="A21">
        <v>18</v>
      </c>
      <c r="B21" s="4">
        <v>1.8E-3</v>
      </c>
      <c r="C21">
        <f t="shared" si="0"/>
        <v>360</v>
      </c>
      <c r="D21" s="4">
        <f>A21/10000</f>
        <v>1.8E-3</v>
      </c>
      <c r="E21">
        <f t="shared" si="1"/>
        <v>218</v>
      </c>
      <c r="F21" s="1" t="e">
        <f>$J$4+$J$5*#REF!</f>
        <v>#REF!</v>
      </c>
      <c r="G21" s="3">
        <f t="shared" si="2"/>
        <v>223.35169029250977</v>
      </c>
      <c r="H21" s="3">
        <f t="shared" si="3"/>
        <v>219.8516991700323</v>
      </c>
    </row>
    <row r="22" spans="1:8" x14ac:dyDescent="0.4">
      <c r="A22">
        <v>19</v>
      </c>
      <c r="B22" s="4">
        <v>1.9E-3</v>
      </c>
      <c r="C22">
        <f t="shared" si="0"/>
        <v>380</v>
      </c>
      <c r="D22" s="4">
        <f t="shared" ref="D22:D85" si="4">A22/10000</f>
        <v>1.9E-3</v>
      </c>
      <c r="E22">
        <f t="shared" si="1"/>
        <v>219</v>
      </c>
      <c r="F22" s="3" t="e">
        <f>D22+($J$6-$J$4)*(1-EXP(-$J$7*#REF!))</f>
        <v>#REF!</v>
      </c>
      <c r="G22" s="3">
        <f t="shared" si="2"/>
        <v>224.64619132715819</v>
      </c>
      <c r="H22" s="3">
        <f t="shared" si="3"/>
        <v>220.69531548828132</v>
      </c>
    </row>
    <row r="23" spans="1:8" x14ac:dyDescent="0.4">
      <c r="A23">
        <v>20</v>
      </c>
      <c r="B23" s="4">
        <v>2E-3</v>
      </c>
      <c r="C23">
        <f t="shared" si="0"/>
        <v>400</v>
      </c>
      <c r="D23" s="4">
        <f t="shared" si="4"/>
        <v>2E-3</v>
      </c>
      <c r="E23">
        <f t="shared" si="1"/>
        <v>220</v>
      </c>
      <c r="F23" s="3" t="e">
        <f>D23+($J$6-$J$4)*(1-EXP(-$J$7*#REF!))</f>
        <v>#REF!</v>
      </c>
      <c r="G23" s="3">
        <f t="shared" si="2"/>
        <v>225.94039800797341</v>
      </c>
      <c r="H23" s="3">
        <f t="shared" si="3"/>
        <v>221.52068724437763</v>
      </c>
    </row>
    <row r="24" spans="1:8" x14ac:dyDescent="0.4">
      <c r="A24">
        <v>21</v>
      </c>
      <c r="B24" s="4">
        <v>2.0999999999999999E-3</v>
      </c>
      <c r="C24">
        <f t="shared" si="0"/>
        <v>420</v>
      </c>
      <c r="D24" s="4">
        <f t="shared" si="4"/>
        <v>2.0999999999999999E-3</v>
      </c>
      <c r="E24">
        <f t="shared" si="1"/>
        <v>221</v>
      </c>
      <c r="F24" s="3" t="e">
        <f>D24+($J$6-$J$4)*(1-EXP(-$J$7*#REF!))</f>
        <v>#REF!</v>
      </c>
      <c r="G24" s="3">
        <f t="shared" si="2"/>
        <v>227.23431062916214</v>
      </c>
      <c r="H24" s="3">
        <f t="shared" si="3"/>
        <v>222.32865064925244</v>
      </c>
    </row>
    <row r="25" spans="1:8" x14ac:dyDescent="0.4">
      <c r="A25">
        <v>22</v>
      </c>
      <c r="B25" s="4">
        <v>2.2000000000000001E-3</v>
      </c>
      <c r="C25">
        <f t="shared" si="0"/>
        <v>440</v>
      </c>
      <c r="D25" s="4">
        <f t="shared" si="4"/>
        <v>2.2000000000000001E-3</v>
      </c>
      <c r="E25">
        <f t="shared" si="1"/>
        <v>222</v>
      </c>
      <c r="F25" s="3" t="e">
        <f>D25+($J$6-$J$4)*(1-EXP(-$J$7*#REF!))</f>
        <v>#REF!</v>
      </c>
      <c r="G25" s="3">
        <f t="shared" si="2"/>
        <v>228.52792948463699</v>
      </c>
      <c r="H25" s="3">
        <f t="shared" si="3"/>
        <v>223.11998432065033</v>
      </c>
    </row>
    <row r="26" spans="1:8" x14ac:dyDescent="0.4">
      <c r="A26">
        <v>23</v>
      </c>
      <c r="B26" s="4">
        <v>2.3E-3</v>
      </c>
      <c r="C26">
        <f t="shared" si="0"/>
        <v>460</v>
      </c>
      <c r="D26" s="4">
        <f t="shared" si="4"/>
        <v>2.3E-3</v>
      </c>
      <c r="E26">
        <f t="shared" si="1"/>
        <v>223</v>
      </c>
      <c r="F26" s="3" t="e">
        <f>D26+($J$6-$J$4)*(1-EXP(-$J$7*#REF!))</f>
        <v>#REF!</v>
      </c>
      <c r="G26" s="3">
        <f t="shared" si="2"/>
        <v>229.82125486801687</v>
      </c>
      <c r="H26" s="3">
        <f t="shared" si="3"/>
        <v>223.89541451434721</v>
      </c>
    </row>
    <row r="27" spans="1:8" x14ac:dyDescent="0.4">
      <c r="A27">
        <v>24</v>
      </c>
      <c r="B27" s="4">
        <v>2.3999999999999998E-3</v>
      </c>
      <c r="C27">
        <f t="shared" si="0"/>
        <v>479.99999999999994</v>
      </c>
      <c r="D27" s="4">
        <f t="shared" si="4"/>
        <v>2.3999999999999998E-3</v>
      </c>
      <c r="E27">
        <f t="shared" si="1"/>
        <v>224</v>
      </c>
      <c r="F27" s="3" t="e">
        <f>D27+($J$6-$J$4)*(1-EXP(-$J$7*#REF!))</f>
        <v>#REF!</v>
      </c>
      <c r="G27" s="3">
        <f t="shared" si="2"/>
        <v>231.11428707262721</v>
      </c>
      <c r="H27" s="3">
        <f t="shared" si="3"/>
        <v>224.65561977063524</v>
      </c>
    </row>
    <row r="28" spans="1:8" x14ac:dyDescent="0.4">
      <c r="A28">
        <v>25</v>
      </c>
      <c r="B28" s="4">
        <v>2.5000000000000001E-3</v>
      </c>
      <c r="C28">
        <f t="shared" si="0"/>
        <v>500</v>
      </c>
      <c r="D28" s="4">
        <f t="shared" si="4"/>
        <v>2.5000000000000001E-3</v>
      </c>
      <c r="E28">
        <f t="shared" si="1"/>
        <v>225</v>
      </c>
      <c r="F28" s="3" t="e">
        <f>D28+($J$6-$J$4)*(1-EXP(-$J$7*#REF!))</f>
        <v>#REF!</v>
      </c>
      <c r="G28" s="3">
        <f t="shared" si="2"/>
        <v>232.40702639150021</v>
      </c>
      <c r="H28" s="3">
        <f t="shared" si="3"/>
        <v>225.40123505313301</v>
      </c>
    </row>
    <row r="29" spans="1:8" x14ac:dyDescent="0.4">
      <c r="A29">
        <v>26</v>
      </c>
      <c r="B29" s="4">
        <v>2.5999999999999999E-3</v>
      </c>
      <c r="C29">
        <f t="shared" si="0"/>
        <v>520</v>
      </c>
      <c r="D29" s="4">
        <f t="shared" si="4"/>
        <v>2.5999999999999999E-3</v>
      </c>
      <c r="E29">
        <f t="shared" si="1"/>
        <v>226</v>
      </c>
      <c r="F29" s="3" t="e">
        <f>D29+($J$6-$J$4)*(1-EXP(-$J$7*#REF!))</f>
        <v>#REF!</v>
      </c>
      <c r="G29" s="3">
        <f t="shared" si="2"/>
        <v>233.69947311737519</v>
      </c>
      <c r="H29" s="3">
        <f t="shared" si="3"/>
        <v>226.13285544534941</v>
      </c>
    </row>
    <row r="30" spans="1:8" x14ac:dyDescent="0.4">
      <c r="A30">
        <v>27</v>
      </c>
      <c r="B30" s="4">
        <v>2.7000000000000001E-3</v>
      </c>
      <c r="C30">
        <f t="shared" si="0"/>
        <v>540</v>
      </c>
      <c r="D30" s="4">
        <f t="shared" si="4"/>
        <v>2.7000000000000001E-3</v>
      </c>
      <c r="E30">
        <f t="shared" si="1"/>
        <v>227</v>
      </c>
      <c r="F30" s="3" t="e">
        <f>D30+($J$6-$J$4)*(1-EXP(-$J$7*#REF!))</f>
        <v>#REF!</v>
      </c>
      <c r="G30" s="3">
        <f t="shared" si="2"/>
        <v>234.99162754269895</v>
      </c>
      <c r="H30" s="3">
        <f t="shared" si="3"/>
        <v>226.85103946077038</v>
      </c>
    </row>
    <row r="31" spans="1:8" x14ac:dyDescent="0.4">
      <c r="A31">
        <v>28</v>
      </c>
      <c r="B31" s="4">
        <v>2.8E-3</v>
      </c>
      <c r="C31">
        <f t="shared" si="0"/>
        <v>560</v>
      </c>
      <c r="D31" s="4">
        <f t="shared" si="4"/>
        <v>2.8E-3</v>
      </c>
      <c r="E31">
        <f t="shared" si="1"/>
        <v>228</v>
      </c>
      <c r="F31" s="3" t="e">
        <f>D31+($J$6-$J$4)*(1-EXP(-$J$7*#REF!))</f>
        <v>#REF!</v>
      </c>
      <c r="G31" s="3">
        <f t="shared" si="2"/>
        <v>236.28348995962594</v>
      </c>
      <c r="H31" s="3">
        <f t="shared" si="3"/>
        <v>227.55631201417523</v>
      </c>
    </row>
    <row r="32" spans="1:8" x14ac:dyDescent="0.4">
      <c r="A32">
        <v>29</v>
      </c>
      <c r="B32" s="4">
        <v>2.8999999999999998E-3</v>
      </c>
      <c r="C32">
        <f t="shared" si="0"/>
        <v>580</v>
      </c>
      <c r="D32" s="4">
        <f t="shared" si="4"/>
        <v>2.8999999999999998E-3</v>
      </c>
      <c r="E32">
        <f t="shared" si="1"/>
        <v>229</v>
      </c>
      <c r="F32" s="3" t="e">
        <f>D32+($J$6-$J$4)*(1-EXP(-$J$7*#REF!))</f>
        <v>#REF!</v>
      </c>
      <c r="G32" s="3">
        <f t="shared" si="2"/>
        <v>237.57506066001855</v>
      </c>
      <c r="H32" s="3">
        <f t="shared" si="3"/>
        <v>228.24916709513727</v>
      </c>
    </row>
    <row r="33" spans="1:8" x14ac:dyDescent="0.4">
      <c r="A33">
        <v>30</v>
      </c>
      <c r="B33" s="4">
        <v>3.0000000000000001E-3</v>
      </c>
      <c r="C33">
        <f t="shared" si="0"/>
        <v>600</v>
      </c>
      <c r="D33" s="4">
        <f t="shared" si="4"/>
        <v>3.0000000000000001E-3</v>
      </c>
      <c r="E33">
        <f t="shared" si="1"/>
        <v>230</v>
      </c>
      <c r="F33" s="3" t="e">
        <f>D33+($J$6-$J$4)*(1-EXP(-$J$7*#REF!))</f>
        <v>#REF!</v>
      </c>
      <c r="G33" s="3">
        <f t="shared" si="2"/>
        <v>238.86633993544754</v>
      </c>
      <c r="H33" s="3">
        <f t="shared" si="3"/>
        <v>228.93007017898276</v>
      </c>
    </row>
    <row r="34" spans="1:8" x14ac:dyDescent="0.4">
      <c r="A34">
        <v>31</v>
      </c>
      <c r="B34" s="4">
        <v>3.0999999999999999E-3</v>
      </c>
      <c r="C34">
        <f t="shared" si="0"/>
        <v>620</v>
      </c>
      <c r="D34" s="4">
        <f t="shared" si="4"/>
        <v>3.0999999999999999E-3</v>
      </c>
      <c r="E34">
        <f t="shared" si="1"/>
        <v>231</v>
      </c>
      <c r="F34" s="3" t="e">
        <f>D34+($J$6-$J$4)*(1-EXP(-$J$7*#REF!))</f>
        <v>#REF!</v>
      </c>
      <c r="G34" s="3">
        <f t="shared" si="2"/>
        <v>240.1573280771922</v>
      </c>
      <c r="H34" s="3">
        <f t="shared" si="3"/>
        <v>229.59946040568806</v>
      </c>
    </row>
    <row r="35" spans="1:8" x14ac:dyDescent="0.4">
      <c r="A35">
        <v>32</v>
      </c>
      <c r="B35" s="4">
        <v>3.2000000000000002E-3</v>
      </c>
      <c r="C35">
        <f t="shared" si="0"/>
        <v>640</v>
      </c>
      <c r="D35" s="4">
        <f t="shared" si="4"/>
        <v>3.2000000000000002E-3</v>
      </c>
      <c r="E35">
        <f t="shared" si="1"/>
        <v>232</v>
      </c>
      <c r="F35" s="3" t="e">
        <f>D35+($J$6-$J$4)*(1-EXP(-$J$7*#REF!))</f>
        <v>#REF!</v>
      </c>
      <c r="G35" s="3">
        <f t="shared" si="2"/>
        <v>241.44802537624071</v>
      </c>
      <c r="H35" s="3">
        <f t="shared" si="3"/>
        <v>230.2577525531311</v>
      </c>
    </row>
    <row r="36" spans="1:8" x14ac:dyDescent="0.4">
      <c r="A36">
        <v>33</v>
      </c>
      <c r="B36" s="4">
        <v>3.3E-3</v>
      </c>
      <c r="C36">
        <f t="shared" si="0"/>
        <v>660</v>
      </c>
      <c r="D36" s="4">
        <f t="shared" si="4"/>
        <v>3.3E-3</v>
      </c>
      <c r="E36">
        <f t="shared" si="1"/>
        <v>233</v>
      </c>
      <c r="F36" s="3" t="e">
        <f>D36+($J$6-$J$4)*(1-EXP(-$J$7*#REF!))</f>
        <v>#REF!</v>
      </c>
      <c r="G36" s="3">
        <f t="shared" si="2"/>
        <v>242.73843212329041</v>
      </c>
      <c r="H36" s="3">
        <f t="shared" si="3"/>
        <v>230.90533882766067</v>
      </c>
    </row>
    <row r="37" spans="1:8" x14ac:dyDescent="0.4">
      <c r="A37">
        <v>34</v>
      </c>
      <c r="B37" s="4">
        <v>3.3999999999999998E-3</v>
      </c>
      <c r="C37">
        <f t="shared" si="0"/>
        <v>680</v>
      </c>
      <c r="D37" s="4">
        <f t="shared" si="4"/>
        <v>3.3999999999999998E-3</v>
      </c>
      <c r="E37">
        <f t="shared" si="1"/>
        <v>234</v>
      </c>
      <c r="F37" s="3" t="e">
        <f>D37+($J$6-$J$4)*(1-EXP(-$J$7*#REF!))</f>
        <v>#REF!</v>
      </c>
      <c r="G37" s="3">
        <f t="shared" si="2"/>
        <v>244.028548608748</v>
      </c>
      <c r="H37" s="3">
        <f t="shared" si="3"/>
        <v>231.54259049199939</v>
      </c>
    </row>
    <row r="38" spans="1:8" x14ac:dyDescent="0.4">
      <c r="A38">
        <v>35</v>
      </c>
      <c r="B38" s="4">
        <v>3.5000000000000001E-3</v>
      </c>
      <c r="C38">
        <f t="shared" si="0"/>
        <v>700</v>
      </c>
      <c r="D38" s="4">
        <f t="shared" si="4"/>
        <v>3.5000000000000001E-3</v>
      </c>
      <c r="E38">
        <f t="shared" si="1"/>
        <v>235</v>
      </c>
      <c r="F38" s="3" t="e">
        <f>D38+($J$6-$J$4)*(1-EXP(-$J$7*#REF!))</f>
        <v>#REF!</v>
      </c>
      <c r="G38" s="3">
        <f t="shared" si="2"/>
        <v>245.31837512273006</v>
      </c>
      <c r="H38" s="3">
        <f t="shared" si="3"/>
        <v>232.16985934797719</v>
      </c>
    </row>
    <row r="39" spans="1:8" x14ac:dyDescent="0.4">
      <c r="A39">
        <v>36</v>
      </c>
      <c r="B39" s="4">
        <v>3.5999999999999999E-3</v>
      </c>
      <c r="C39">
        <f t="shared" si="0"/>
        <v>720</v>
      </c>
      <c r="D39" s="4">
        <f t="shared" si="4"/>
        <v>3.5999999999999999E-3</v>
      </c>
      <c r="E39">
        <f t="shared" si="1"/>
        <v>236</v>
      </c>
      <c r="F39" s="3" t="e">
        <f>D39+($J$6-$J$4)*(1-EXP(-$J$7*#REF!))</f>
        <v>#REF!</v>
      </c>
      <c r="G39" s="3">
        <f t="shared" si="2"/>
        <v>246.60791195506309</v>
      </c>
      <c r="H39" s="3">
        <f t="shared" si="3"/>
        <v>232.78747908942708</v>
      </c>
    </row>
    <row r="40" spans="1:8" x14ac:dyDescent="0.4">
      <c r="A40">
        <v>37</v>
      </c>
      <c r="B40" s="4">
        <v>3.7000000000000002E-3</v>
      </c>
      <c r="C40">
        <f t="shared" si="0"/>
        <v>740</v>
      </c>
      <c r="D40" s="4">
        <f t="shared" si="4"/>
        <v>3.7000000000000002E-3</v>
      </c>
      <c r="E40">
        <f t="shared" si="1"/>
        <v>237</v>
      </c>
      <c r="F40" s="3" t="e">
        <f>D40+($J$6-$J$4)*(1-EXP(-$J$7*#REF!))</f>
        <v>#REF!</v>
      </c>
      <c r="G40" s="3">
        <f t="shared" si="2"/>
        <v>247.89715939528395</v>
      </c>
      <c r="H40" s="3">
        <f t="shared" si="3"/>
        <v>233.39576653871242</v>
      </c>
    </row>
    <row r="41" spans="1:8" x14ac:dyDescent="0.4">
      <c r="A41">
        <v>38</v>
      </c>
      <c r="B41" s="4">
        <v>3.8E-3</v>
      </c>
      <c r="C41">
        <f t="shared" si="0"/>
        <v>760</v>
      </c>
      <c r="D41" s="4">
        <f t="shared" si="4"/>
        <v>3.8E-3</v>
      </c>
      <c r="E41">
        <f t="shared" si="1"/>
        <v>238</v>
      </c>
      <c r="F41" s="3" t="e">
        <f>D41+($J$6-$J$4)*(1-EXP(-$J$7*#REF!))</f>
        <v>#REF!</v>
      </c>
      <c r="G41" s="3">
        <f t="shared" si="2"/>
        <v>249.18611773264016</v>
      </c>
      <c r="H41" s="3">
        <f t="shared" si="3"/>
        <v>233.99502277874905</v>
      </c>
    </row>
    <row r="42" spans="1:8" x14ac:dyDescent="0.4">
      <c r="A42">
        <v>39</v>
      </c>
      <c r="B42" s="4">
        <v>3.8999999999999998E-3</v>
      </c>
      <c r="C42">
        <f t="shared" si="0"/>
        <v>780</v>
      </c>
      <c r="D42" s="4">
        <f t="shared" si="4"/>
        <v>3.8999999999999998E-3</v>
      </c>
      <c r="E42">
        <f t="shared" si="1"/>
        <v>239</v>
      </c>
      <c r="F42" s="3" t="e">
        <f>D42+($J$6-$J$4)*(1-EXP(-$J$7*#REF!))</f>
        <v>#REF!</v>
      </c>
      <c r="G42" s="3">
        <f t="shared" si="2"/>
        <v>250.47478725608997</v>
      </c>
      <c r="H42" s="3">
        <f t="shared" si="3"/>
        <v>234.5855341909911</v>
      </c>
    </row>
    <row r="43" spans="1:8" x14ac:dyDescent="0.4">
      <c r="A43">
        <v>40</v>
      </c>
      <c r="B43" s="4">
        <v>4.0000000000000001E-3</v>
      </c>
      <c r="C43">
        <f t="shared" si="0"/>
        <v>800</v>
      </c>
      <c r="D43" s="4">
        <f t="shared" si="4"/>
        <v>4.0000000000000001E-3</v>
      </c>
      <c r="E43">
        <f t="shared" si="1"/>
        <v>240</v>
      </c>
      <c r="F43" s="3" t="e">
        <f>D43+($J$6-$J$4)*(1-EXP(-$J$7*#REF!))</f>
        <v>#REF!</v>
      </c>
      <c r="G43" s="3">
        <f t="shared" si="2"/>
        <v>251.76316825430305</v>
      </c>
      <c r="H43" s="3">
        <f t="shared" si="3"/>
        <v>235.1675734086449</v>
      </c>
    </row>
    <row r="44" spans="1:8" x14ac:dyDescent="0.4">
      <c r="A44">
        <v>41</v>
      </c>
      <c r="B44" s="4">
        <v>4.1000000000000003E-3</v>
      </c>
      <c r="C44">
        <f t="shared" si="0"/>
        <v>820.00000000000011</v>
      </c>
      <c r="D44" s="4">
        <f t="shared" si="4"/>
        <v>4.1000000000000003E-3</v>
      </c>
      <c r="E44">
        <f t="shared" si="1"/>
        <v>241</v>
      </c>
      <c r="F44" s="3" t="e">
        <f>D44+($J$6-$J$4)*(1-EXP(-$J$7*#REF!))</f>
        <v>#REF!</v>
      </c>
      <c r="G44" s="3">
        <f t="shared" si="2"/>
        <v>253.05126101566032</v>
      </c>
      <c r="H44" s="3">
        <f t="shared" si="3"/>
        <v>235.74140019332182</v>
      </c>
    </row>
    <row r="45" spans="1:8" x14ac:dyDescent="0.4">
      <c r="A45">
        <v>42</v>
      </c>
      <c r="B45" s="4">
        <v>4.1999999999999997E-3</v>
      </c>
      <c r="C45">
        <f t="shared" si="0"/>
        <v>840</v>
      </c>
      <c r="D45" s="4">
        <f t="shared" si="4"/>
        <v>4.1999999999999997E-3</v>
      </c>
      <c r="E45">
        <f t="shared" si="1"/>
        <v>242</v>
      </c>
      <c r="F45" s="3" t="e">
        <f>D45+($J$6-$J$4)*(1-EXP(-$J$7*#REF!))</f>
        <v>#REF!</v>
      </c>
      <c r="G45" s="3">
        <f t="shared" si="2"/>
        <v>254.33906582825466</v>
      </c>
      <c r="H45" s="3">
        <f t="shared" si="3"/>
        <v>236.30726224242721</v>
      </c>
    </row>
    <row r="46" spans="1:8" x14ac:dyDescent="0.4">
      <c r="A46">
        <v>43</v>
      </c>
      <c r="B46" s="4">
        <v>4.3E-3</v>
      </c>
      <c r="C46">
        <f t="shared" si="0"/>
        <v>860</v>
      </c>
      <c r="D46" s="4">
        <f t="shared" si="4"/>
        <v>4.3E-3</v>
      </c>
      <c r="E46">
        <f t="shared" si="1"/>
        <v>243</v>
      </c>
      <c r="F46" s="3" t="e">
        <f>D46+($J$6-$J$4)*(1-EXP(-$J$7*#REF!))</f>
        <v>#REF!</v>
      </c>
      <c r="G46" s="3">
        <f t="shared" si="2"/>
        <v>255.6265829798908</v>
      </c>
      <c r="H46" s="3">
        <f t="shared" si="3"/>
        <v>236.86539593377853</v>
      </c>
    </row>
    <row r="47" spans="1:8" x14ac:dyDescent="0.4">
      <c r="A47">
        <v>44</v>
      </c>
      <c r="B47" s="4">
        <v>4.4000000000000003E-3</v>
      </c>
      <c r="C47">
        <f t="shared" si="0"/>
        <v>880</v>
      </c>
      <c r="D47" s="4">
        <f t="shared" si="4"/>
        <v>4.4000000000000003E-3</v>
      </c>
      <c r="E47">
        <f t="shared" si="1"/>
        <v>244</v>
      </c>
      <c r="F47" s="3" t="e">
        <f>D47+($J$6-$J$4)*(1-EXP(-$J$7*#REF!))</f>
        <v>#REF!</v>
      </c>
      <c r="G47" s="3">
        <f t="shared" si="2"/>
        <v>256.91381275808601</v>
      </c>
      <c r="H47" s="3">
        <f t="shared" si="3"/>
        <v>237.41602701324786</v>
      </c>
    </row>
    <row r="48" spans="1:8" x14ac:dyDescent="0.4">
      <c r="A48">
        <v>45</v>
      </c>
      <c r="B48" s="4">
        <v>4.4999999999999997E-3</v>
      </c>
      <c r="C48">
        <f t="shared" si="0"/>
        <v>899.99999999999989</v>
      </c>
      <c r="D48" s="4">
        <f t="shared" si="4"/>
        <v>4.4999999999999997E-3</v>
      </c>
      <c r="E48">
        <f t="shared" si="1"/>
        <v>245</v>
      </c>
      <c r="F48" s="3" t="e">
        <f>D48+($J$6-$J$4)*(1-EXP(-$J$7*#REF!))</f>
        <v>#REF!</v>
      </c>
      <c r="G48" s="3">
        <f t="shared" si="2"/>
        <v>258.20075545007001</v>
      </c>
      <c r="H48" s="3">
        <f t="shared" si="3"/>
        <v>237.95937123060298</v>
      </c>
    </row>
    <row r="49" spans="1:8" x14ac:dyDescent="0.4">
      <c r="A49">
        <v>46</v>
      </c>
      <c r="B49" s="4">
        <v>4.5999999999999999E-3</v>
      </c>
      <c r="C49">
        <f t="shared" si="0"/>
        <v>920</v>
      </c>
      <c r="D49" s="4">
        <f t="shared" si="4"/>
        <v>4.5999999999999999E-3</v>
      </c>
      <c r="E49">
        <f t="shared" si="1"/>
        <v>246</v>
      </c>
      <c r="F49" s="3" t="e">
        <f>D49+($J$6-$J$4)*(1-EXP(-$J$7*#REF!))</f>
        <v>#REF!</v>
      </c>
      <c r="G49" s="3">
        <f t="shared" si="2"/>
        <v>259.48741134278561</v>
      </c>
      <c r="H49" s="3">
        <f t="shared" si="3"/>
        <v>238.49563492818385</v>
      </c>
    </row>
    <row r="50" spans="1:8" x14ac:dyDescent="0.4">
      <c r="A50">
        <v>47</v>
      </c>
      <c r="B50" s="4">
        <v>4.7000000000000002E-3</v>
      </c>
      <c r="C50">
        <f t="shared" si="0"/>
        <v>940</v>
      </c>
      <c r="D50" s="4">
        <f t="shared" si="4"/>
        <v>4.7000000000000002E-3</v>
      </c>
      <c r="E50">
        <f t="shared" si="1"/>
        <v>247</v>
      </c>
      <c r="F50" s="3" t="e">
        <f>D50+($J$6-$J$4)*(1-EXP(-$J$7*#REF!))</f>
        <v>#REF!</v>
      </c>
      <c r="G50" s="3">
        <f t="shared" si="2"/>
        <v>260.77378072288866</v>
      </c>
      <c r="H50" s="3">
        <f t="shared" si="3"/>
        <v>239.02501558656883</v>
      </c>
    </row>
    <row r="51" spans="1:8" x14ac:dyDescent="0.4">
      <c r="A51">
        <v>48</v>
      </c>
      <c r="B51" s="4">
        <v>4.7999999999999996E-3</v>
      </c>
      <c r="C51">
        <f t="shared" si="0"/>
        <v>959.99999999999989</v>
      </c>
      <c r="D51" s="4">
        <f t="shared" si="4"/>
        <v>4.7999999999999996E-3</v>
      </c>
      <c r="E51">
        <f t="shared" si="1"/>
        <v>248</v>
      </c>
      <c r="F51" s="3" t="e">
        <f>D51+($J$6-$J$4)*(1-EXP(-$J$7*#REF!))</f>
        <v>#REF!</v>
      </c>
      <c r="G51" s="3">
        <f t="shared" si="2"/>
        <v>262.05986387674858</v>
      </c>
      <c r="H51" s="3">
        <f t="shared" si="3"/>
        <v>239.54770233096551</v>
      </c>
    </row>
    <row r="52" spans="1:8" x14ac:dyDescent="0.4">
      <c r="A52">
        <v>49</v>
      </c>
      <c r="B52" s="4">
        <v>4.8999999999999998E-3</v>
      </c>
      <c r="C52">
        <f t="shared" si="0"/>
        <v>980</v>
      </c>
      <c r="D52" s="4">
        <f t="shared" si="4"/>
        <v>4.8999999999999998E-3</v>
      </c>
      <c r="E52">
        <f t="shared" si="1"/>
        <v>249</v>
      </c>
      <c r="F52" s="3" t="e">
        <f>D52+($J$6-$J$4)*(1-EXP(-$J$7*#REF!))</f>
        <v>#REF!</v>
      </c>
      <c r="G52" s="3">
        <f t="shared" si="2"/>
        <v>263.34566109044852</v>
      </c>
      <c r="H52" s="3">
        <f t="shared" si="3"/>
        <v>240.06387640168546</v>
      </c>
    </row>
    <row r="53" spans="1:8" x14ac:dyDescent="0.4">
      <c r="A53">
        <v>50</v>
      </c>
      <c r="B53" s="4">
        <v>5.0000000000000001E-3</v>
      </c>
      <c r="C53">
        <f t="shared" si="0"/>
        <v>1000</v>
      </c>
      <c r="D53" s="4">
        <f t="shared" si="4"/>
        <v>5.0000000000000001E-3</v>
      </c>
      <c r="E53">
        <f t="shared" si="1"/>
        <v>250</v>
      </c>
      <c r="F53" s="3" t="e">
        <f>D53+($J$6-$J$4)*(1-EXP(-$J$7*#REF!))</f>
        <v>#REF!</v>
      </c>
      <c r="G53" s="3">
        <f t="shared" si="2"/>
        <v>264.63117264978581</v>
      </c>
      <c r="H53" s="3">
        <f t="shared" si="3"/>
        <v>240.57371159173132</v>
      </c>
    </row>
    <row r="54" spans="1:8" x14ac:dyDescent="0.4">
      <c r="A54">
        <v>51</v>
      </c>
      <c r="B54" s="4">
        <v>5.1000000000000004E-3</v>
      </c>
      <c r="C54">
        <f t="shared" si="0"/>
        <v>1020.0000000000001</v>
      </c>
      <c r="D54" s="4">
        <f t="shared" si="4"/>
        <v>5.1000000000000004E-3</v>
      </c>
      <c r="E54">
        <f t="shared" si="1"/>
        <v>251</v>
      </c>
      <c r="F54" s="3" t="e">
        <f>D54+($J$6-$J$4)*(1-EXP(-$J$7*#REF!))</f>
        <v>#REF!</v>
      </c>
      <c r="G54" s="3">
        <f t="shared" si="2"/>
        <v>265.91639884027188</v>
      </c>
      <c r="H54" s="3">
        <f t="shared" si="3"/>
        <v>241.07737465422898</v>
      </c>
    </row>
    <row r="55" spans="1:8" x14ac:dyDescent="0.4">
      <c r="A55">
        <v>52</v>
      </c>
      <c r="B55" s="4">
        <v>5.1999999999999998E-3</v>
      </c>
      <c r="C55">
        <f t="shared" si="0"/>
        <v>1040</v>
      </c>
      <c r="D55" s="4">
        <f t="shared" si="4"/>
        <v>5.1999999999999998E-3</v>
      </c>
      <c r="E55">
        <f t="shared" si="1"/>
        <v>252</v>
      </c>
      <c r="F55" s="3" t="e">
        <f>D55+($J$6-$J$4)*(1-EXP(-$J$7*#REF!))</f>
        <v>#REF!</v>
      </c>
      <c r="G55" s="3">
        <f t="shared" si="2"/>
        <v>267.20133994713314</v>
      </c>
      <c r="H55" s="3">
        <f t="shared" si="3"/>
        <v>241.57502568217717</v>
      </c>
    </row>
    <row r="56" spans="1:8" x14ac:dyDescent="0.4">
      <c r="A56">
        <v>53</v>
      </c>
      <c r="B56" s="4">
        <v>5.3E-3</v>
      </c>
      <c r="C56">
        <f t="shared" si="0"/>
        <v>1060</v>
      </c>
      <c r="D56" s="4">
        <f t="shared" si="4"/>
        <v>5.3E-3</v>
      </c>
      <c r="E56">
        <f t="shared" si="1"/>
        <v>253</v>
      </c>
      <c r="F56" s="3" t="e">
        <f>D56+($J$6-$J$4)*(1-EXP(-$J$7*#REF!))</f>
        <v>#REF!</v>
      </c>
      <c r="G56" s="3">
        <f t="shared" si="2"/>
        <v>268.48599625531057</v>
      </c>
      <c r="H56" s="3">
        <f t="shared" si="3"/>
        <v>242.06681846275038</v>
      </c>
    </row>
    <row r="57" spans="1:8" x14ac:dyDescent="0.4">
      <c r="A57">
        <v>54</v>
      </c>
      <c r="B57" s="4">
        <v>5.4000000000000003E-3</v>
      </c>
      <c r="C57">
        <f t="shared" si="0"/>
        <v>1080</v>
      </c>
      <c r="D57" s="4">
        <f t="shared" si="4"/>
        <v>5.4000000000000003E-3</v>
      </c>
      <c r="E57">
        <f t="shared" si="1"/>
        <v>254</v>
      </c>
      <c r="F57" s="3" t="e">
        <f>D57+($J$6-$J$4)*(1-EXP(-$J$7*#REF!))</f>
        <v>#REF!</v>
      </c>
      <c r="G57" s="3">
        <f t="shared" si="2"/>
        <v>269.7703680494605</v>
      </c>
      <c r="H57" s="3">
        <f t="shared" si="3"/>
        <v>242.55290080818472</v>
      </c>
    </row>
    <row r="58" spans="1:8" x14ac:dyDescent="0.4">
      <c r="A58">
        <v>55</v>
      </c>
      <c r="B58" s="4">
        <v>5.4999999999999997E-3</v>
      </c>
      <c r="C58">
        <f t="shared" si="0"/>
        <v>1100</v>
      </c>
      <c r="D58" s="4">
        <f t="shared" si="4"/>
        <v>5.4999999999999997E-3</v>
      </c>
      <c r="E58">
        <f t="shared" si="1"/>
        <v>255</v>
      </c>
      <c r="F58" s="3" t="e">
        <f>D58+($J$6-$J$4)*(1-EXP(-$J$7*#REF!))</f>
        <v>#REF!</v>
      </c>
      <c r="G58" s="3">
        <f t="shared" si="2"/>
        <v>271.05445561395481</v>
      </c>
      <c r="H58" s="3">
        <f t="shared" si="3"/>
        <v>243.03341486508762</v>
      </c>
    </row>
    <row r="59" spans="1:8" x14ac:dyDescent="0.4">
      <c r="A59">
        <v>56</v>
      </c>
      <c r="B59" s="4">
        <v>5.5999999999999999E-3</v>
      </c>
      <c r="C59">
        <f t="shared" si="0"/>
        <v>1120</v>
      </c>
      <c r="D59" s="4">
        <f t="shared" si="4"/>
        <v>5.5999999999999999E-3</v>
      </c>
      <c r="E59">
        <f t="shared" si="1"/>
        <v>256</v>
      </c>
      <c r="F59" s="3" t="e">
        <f>D59+($J$6-$J$4)*(1-EXP(-$J$7*#REF!))</f>
        <v>#REF!</v>
      </c>
      <c r="G59" s="3">
        <f t="shared" si="2"/>
        <v>272.33825923288111</v>
      </c>
      <c r="H59" s="3">
        <f t="shared" si="3"/>
        <v>243.50849740384635</v>
      </c>
    </row>
    <row r="60" spans="1:8" x14ac:dyDescent="0.4">
      <c r="A60">
        <v>57</v>
      </c>
      <c r="B60" s="4">
        <v>5.7000000000000002E-3</v>
      </c>
      <c r="C60">
        <f t="shared" si="0"/>
        <v>1140</v>
      </c>
      <c r="D60" s="4">
        <f t="shared" si="4"/>
        <v>5.7000000000000002E-3</v>
      </c>
      <c r="E60">
        <f t="shared" si="1"/>
        <v>257</v>
      </c>
      <c r="F60" s="3" t="e">
        <f>D60+($J$6-$J$4)*(1-EXP(-$J$7*#REF!))</f>
        <v>#REF!</v>
      </c>
      <c r="G60" s="3">
        <f t="shared" si="2"/>
        <v>273.62177919004301</v>
      </c>
      <c r="H60" s="3">
        <f t="shared" si="3"/>
        <v>243.97828008965874</v>
      </c>
    </row>
    <row r="61" spans="1:8" x14ac:dyDescent="0.4">
      <c r="A61">
        <v>58</v>
      </c>
      <c r="B61" s="4">
        <v>5.7999999999999996E-3</v>
      </c>
      <c r="C61">
        <f t="shared" si="0"/>
        <v>1160</v>
      </c>
      <c r="D61" s="4">
        <f t="shared" si="4"/>
        <v>5.7999999999999996E-3</v>
      </c>
      <c r="E61">
        <f t="shared" si="1"/>
        <v>258</v>
      </c>
      <c r="F61" s="3" t="e">
        <f>D61+($J$6-$J$4)*(1-EXP(-$J$7*#REF!))</f>
        <v>#REF!</v>
      </c>
      <c r="G61" s="3">
        <f t="shared" si="2"/>
        <v>274.90501576896042</v>
      </c>
      <c r="H61" s="3">
        <f t="shared" si="3"/>
        <v>244.44288973657652</v>
      </c>
    </row>
    <row r="62" spans="1:8" x14ac:dyDescent="0.4">
      <c r="A62">
        <v>59</v>
      </c>
      <c r="B62" s="4">
        <v>5.8999999999999999E-3</v>
      </c>
      <c r="C62">
        <f t="shared" si="0"/>
        <v>1180</v>
      </c>
      <c r="D62" s="4">
        <f t="shared" si="4"/>
        <v>5.8999999999999999E-3</v>
      </c>
      <c r="E62">
        <f t="shared" si="1"/>
        <v>259</v>
      </c>
      <c r="F62" s="3" t="e">
        <f>D62+($J$6-$J$4)*(1-EXP(-$J$7*#REF!))</f>
        <v>#REF!</v>
      </c>
      <c r="G62" s="3">
        <f t="shared" si="2"/>
        <v>276.18796925287006</v>
      </c>
      <c r="H62" s="3">
        <f t="shared" si="3"/>
        <v>244.90244854582787</v>
      </c>
    </row>
    <row r="63" spans="1:8" x14ac:dyDescent="0.4">
      <c r="A63">
        <v>60</v>
      </c>
      <c r="B63" s="4">
        <v>6.0000000000000001E-3</v>
      </c>
      <c r="C63">
        <f t="shared" si="0"/>
        <v>1200</v>
      </c>
      <c r="D63" s="4">
        <f t="shared" si="4"/>
        <v>6.0000000000000001E-3</v>
      </c>
      <c r="E63">
        <f t="shared" si="1"/>
        <v>260</v>
      </c>
      <c r="F63" s="3" t="e">
        <f>D63+($J$6-$J$4)*(1-EXP(-$J$7*#REF!))</f>
        <v>#REF!</v>
      </c>
      <c r="G63" s="3">
        <f t="shared" si="2"/>
        <v>277.47063992472539</v>
      </c>
      <c r="H63" s="3">
        <f t="shared" si="3"/>
        <v>245.35707432957861</v>
      </c>
    </row>
    <row r="64" spans="1:8" x14ac:dyDescent="0.4">
      <c r="A64">
        <v>61</v>
      </c>
      <c r="B64" s="4">
        <v>6.1000000000000004E-3</v>
      </c>
      <c r="C64">
        <f t="shared" si="0"/>
        <v>1220</v>
      </c>
      <c r="D64" s="4">
        <f t="shared" si="4"/>
        <v>6.1000000000000004E-3</v>
      </c>
      <c r="E64">
        <f t="shared" si="1"/>
        <v>261</v>
      </c>
      <c r="F64" s="3" t="e">
        <f>D64+($J$6-$J$4)*(1-EXP(-$J$7*#REF!))</f>
        <v>#REF!</v>
      </c>
      <c r="G64" s="3">
        <f t="shared" si="2"/>
        <v>278.75302806719708</v>
      </c>
      <c r="H64" s="3">
        <f t="shared" si="3"/>
        <v>245.80688072119136</v>
      </c>
    </row>
    <row r="65" spans="1:8" x14ac:dyDescent="0.4">
      <c r="A65">
        <v>62</v>
      </c>
      <c r="B65" s="4">
        <v>6.1999999999999998E-3</v>
      </c>
      <c r="C65">
        <f t="shared" si="0"/>
        <v>1240</v>
      </c>
      <c r="D65" s="4">
        <f t="shared" si="4"/>
        <v>6.1999999999999998E-3</v>
      </c>
      <c r="E65">
        <f t="shared" si="1"/>
        <v>262</v>
      </c>
      <c r="F65" s="3" t="e">
        <f>D65+($J$6-$J$4)*(1-EXP(-$J$7*#REF!))</f>
        <v>#REF!</v>
      </c>
      <c r="G65" s="3">
        <f t="shared" si="2"/>
        <v>280.03513396267334</v>
      </c>
      <c r="H65" s="3">
        <f t="shared" si="3"/>
        <v>246.25197737295332</v>
      </c>
    </row>
    <row r="66" spans="1:8" x14ac:dyDescent="0.4">
      <c r="A66">
        <v>63</v>
      </c>
      <c r="B66" s="4">
        <v>6.3E-3</v>
      </c>
      <c r="C66">
        <f t="shared" si="0"/>
        <v>1260</v>
      </c>
      <c r="D66" s="4">
        <f t="shared" si="4"/>
        <v>6.3E-3</v>
      </c>
      <c r="E66">
        <f t="shared" si="1"/>
        <v>263</v>
      </c>
      <c r="F66" s="3" t="e">
        <f>D66+($J$6-$J$4)*(1-EXP(-$J$7*#REF!))</f>
        <v>#REF!</v>
      </c>
      <c r="G66" s="3">
        <f t="shared" si="2"/>
        <v>281.31695789326005</v>
      </c>
      <c r="H66" s="3">
        <f t="shared" si="3"/>
        <v>246.69247014216265</v>
      </c>
    </row>
    <row r="67" spans="1:8" x14ac:dyDescent="0.4">
      <c r="A67">
        <v>64</v>
      </c>
      <c r="B67" s="4">
        <v>6.4000000000000003E-3</v>
      </c>
      <c r="C67">
        <f t="shared" si="0"/>
        <v>1280</v>
      </c>
      <c r="D67" s="4">
        <f t="shared" si="4"/>
        <v>6.4000000000000003E-3</v>
      </c>
      <c r="E67">
        <f t="shared" si="1"/>
        <v>264</v>
      </c>
      <c r="F67" s="3" t="e">
        <f>D67+($J$6-$J$4)*(1-EXP(-$J$7*#REF!))</f>
        <v>#REF!</v>
      </c>
      <c r="G67" s="3">
        <f t="shared" si="2"/>
        <v>282.59850014078114</v>
      </c>
      <c r="H67" s="3">
        <f t="shared" si="3"/>
        <v>247.12846126638979</v>
      </c>
    </row>
    <row r="68" spans="1:8" x14ac:dyDescent="0.4">
      <c r="A68">
        <v>65</v>
      </c>
      <c r="B68" s="4">
        <v>6.4999999999999997E-3</v>
      </c>
      <c r="C68">
        <f t="shared" ref="C68:C103" si="5">$J$3*B68</f>
        <v>1300</v>
      </c>
      <c r="D68" s="4">
        <f t="shared" si="4"/>
        <v>6.4999999999999997E-3</v>
      </c>
      <c r="E68">
        <f t="shared" ref="E68:E103" si="6">$J$4+$J$5*D68</f>
        <v>265</v>
      </c>
      <c r="F68" s="3" t="e">
        <f>D68+($J$6-$J$4)*(1-EXP(-$J$7*#REF!))</f>
        <v>#REF!</v>
      </c>
      <c r="G68" s="3">
        <f t="shared" ref="G68:G103" si="7">E68+($J$6-$J$4)*(1-EXP(-$J$7*D68))</f>
        <v>283.87976098677899</v>
      </c>
      <c r="H68" s="3">
        <f t="shared" ref="H68:H103" si="8">$J$8*($J$9+D68)^$J$10</f>
        <v>247.56004952866488</v>
      </c>
    </row>
    <row r="69" spans="1:8" x14ac:dyDescent="0.4">
      <c r="A69">
        <v>66</v>
      </c>
      <c r="B69" s="4">
        <v>6.6E-3</v>
      </c>
      <c r="C69">
        <f t="shared" si="5"/>
        <v>1320</v>
      </c>
      <c r="D69" s="4">
        <f t="shared" si="4"/>
        <v>6.6E-3</v>
      </c>
      <c r="E69">
        <f t="shared" si="6"/>
        <v>266</v>
      </c>
      <c r="F69" s="3" t="e">
        <f>D69+($J$6-$J$4)*(1-EXP(-$J$7*#REF!))</f>
        <v>#REF!</v>
      </c>
      <c r="G69" s="3">
        <f t="shared" si="7"/>
        <v>285.16074071251433</v>
      </c>
      <c r="H69" s="3">
        <f t="shared" si="8"/>
        <v>247.98733041328074</v>
      </c>
    </row>
    <row r="70" spans="1:8" x14ac:dyDescent="0.4">
      <c r="A70">
        <v>67</v>
      </c>
      <c r="B70" s="4">
        <v>6.7000000000000002E-3</v>
      </c>
      <c r="C70">
        <f t="shared" si="5"/>
        <v>1340</v>
      </c>
      <c r="D70" s="4">
        <f t="shared" si="4"/>
        <v>6.7000000000000002E-3</v>
      </c>
      <c r="E70">
        <f t="shared" si="6"/>
        <v>267</v>
      </c>
      <c r="F70" s="3" t="e">
        <f>D70+($J$6-$J$4)*(1-EXP(-$J$7*#REF!))</f>
        <v>#REF!</v>
      </c>
      <c r="G70" s="3">
        <f t="shared" si="7"/>
        <v>286.44143959896701</v>
      </c>
      <c r="H70" s="3">
        <f t="shared" si="8"/>
        <v>248.41039625284776</v>
      </c>
    </row>
    <row r="71" spans="1:8" x14ac:dyDescent="0.4">
      <c r="A71">
        <v>68</v>
      </c>
      <c r="B71" s="4">
        <v>6.7999999999999996E-3</v>
      </c>
      <c r="C71">
        <f t="shared" si="5"/>
        <v>1360</v>
      </c>
      <c r="D71" s="4">
        <f t="shared" si="4"/>
        <v>6.7999999999999996E-3</v>
      </c>
      <c r="E71">
        <f t="shared" si="6"/>
        <v>268</v>
      </c>
      <c r="F71" s="3" t="e">
        <f>D71+($J$6-$J$4)*(1-EXP(-$J$7*#REF!))</f>
        <v>#REF!</v>
      </c>
      <c r="G71" s="3">
        <f t="shared" si="7"/>
        <v>287.72185792683592</v>
      </c>
      <c r="H71" s="3">
        <f t="shared" si="8"/>
        <v>248.82933636718533</v>
      </c>
    </row>
    <row r="72" spans="1:8" x14ac:dyDescent="0.4">
      <c r="A72">
        <v>69</v>
      </c>
      <c r="B72" s="4">
        <v>6.8999999999999999E-3</v>
      </c>
      <c r="C72">
        <f t="shared" si="5"/>
        <v>1380</v>
      </c>
      <c r="D72" s="4">
        <f t="shared" si="4"/>
        <v>6.8999999999999999E-3</v>
      </c>
      <c r="E72">
        <f t="shared" si="6"/>
        <v>269</v>
      </c>
      <c r="F72" s="3" t="e">
        <f>D72+($J$6-$J$4)*(1-EXP(-$J$7*#REF!))</f>
        <v>#REF!</v>
      </c>
      <c r="G72" s="3">
        <f t="shared" si="7"/>
        <v>289.00199597653943</v>
      </c>
      <c r="H72" s="3">
        <f t="shared" si="8"/>
        <v>249.2442371945917</v>
      </c>
    </row>
    <row r="73" spans="1:8" x14ac:dyDescent="0.4">
      <c r="A73">
        <v>70</v>
      </c>
      <c r="B73" s="4">
        <v>7.0000000000000001E-3</v>
      </c>
      <c r="C73">
        <f t="shared" si="5"/>
        <v>1400</v>
      </c>
      <c r="D73" s="4">
        <f t="shared" si="4"/>
        <v>7.0000000000000001E-3</v>
      </c>
      <c r="E73">
        <f t="shared" si="6"/>
        <v>270</v>
      </c>
      <c r="F73" s="3" t="e">
        <f>D73+($J$6-$J$4)*(1-EXP(-$J$7*#REF!))</f>
        <v>#REF!</v>
      </c>
      <c r="G73" s="3">
        <f t="shared" si="7"/>
        <v>290.28185402821555</v>
      </c>
      <c r="H73" s="3">
        <f t="shared" si="8"/>
        <v>249.65518241598917</v>
      </c>
    </row>
    <row r="74" spans="1:8" x14ac:dyDescent="0.4">
      <c r="A74">
        <v>71</v>
      </c>
      <c r="B74" s="4">
        <v>7.1000000000000004E-3</v>
      </c>
      <c r="C74">
        <f t="shared" si="5"/>
        <v>1420</v>
      </c>
      <c r="D74" s="4">
        <f t="shared" si="4"/>
        <v>7.1000000000000004E-3</v>
      </c>
      <c r="E74">
        <f t="shared" si="6"/>
        <v>271</v>
      </c>
      <c r="F74" s="3" t="e">
        <f>D74+($J$6-$J$4)*(1-EXP(-$J$7*#REF!))</f>
        <v>#REF!</v>
      </c>
      <c r="G74" s="3">
        <f t="shared" si="7"/>
        <v>291.56143236172238</v>
      </c>
      <c r="H74" s="3">
        <f t="shared" si="8"/>
        <v>250.06225307240754</v>
      </c>
    </row>
    <row r="75" spans="1:8" x14ac:dyDescent="0.4">
      <c r="A75">
        <v>72</v>
      </c>
      <c r="B75" s="4">
        <v>7.1999999999999998E-3</v>
      </c>
      <c r="C75">
        <f t="shared" si="5"/>
        <v>1440</v>
      </c>
      <c r="D75" s="4">
        <f t="shared" si="4"/>
        <v>7.1999999999999998E-3</v>
      </c>
      <c r="E75">
        <f t="shared" si="6"/>
        <v>272</v>
      </c>
      <c r="F75" s="3" t="e">
        <f>D75+($J$6-$J$4)*(1-EXP(-$J$7*#REF!))</f>
        <v>#REF!</v>
      </c>
      <c r="G75" s="3">
        <f t="shared" si="7"/>
        <v>292.84073125663826</v>
      </c>
      <c r="H75" s="3">
        <f t="shared" si="8"/>
        <v>250.46552767623137</v>
      </c>
    </row>
    <row r="76" spans="1:8" x14ac:dyDescent="0.4">
      <c r="A76">
        <v>73</v>
      </c>
      <c r="B76" s="4">
        <v>7.3000000000000001E-3</v>
      </c>
      <c r="C76">
        <f t="shared" si="5"/>
        <v>1460</v>
      </c>
      <c r="D76" s="4">
        <f t="shared" si="4"/>
        <v>7.3000000000000001E-3</v>
      </c>
      <c r="E76">
        <f t="shared" si="6"/>
        <v>273</v>
      </c>
      <c r="F76" s="3" t="e">
        <f>D76+($J$6-$J$4)*(1-EXP(-$J$7*#REF!))</f>
        <v>#REF!</v>
      </c>
      <c r="G76" s="3">
        <f t="shared" si="7"/>
        <v>294.1197509922622</v>
      </c>
      <c r="H76" s="3">
        <f t="shared" si="8"/>
        <v>250.86508231660588</v>
      </c>
    </row>
    <row r="77" spans="1:8" x14ac:dyDescent="0.4">
      <c r="A77">
        <v>74</v>
      </c>
      <c r="B77" s="4">
        <v>7.4000000000000003E-3</v>
      </c>
      <c r="C77">
        <f t="shared" si="5"/>
        <v>1480</v>
      </c>
      <c r="D77" s="4">
        <f t="shared" si="4"/>
        <v>7.4000000000000003E-3</v>
      </c>
      <c r="E77">
        <f t="shared" si="6"/>
        <v>274</v>
      </c>
      <c r="F77" s="3" t="e">
        <f>D77+($J$6-$J$4)*(1-EXP(-$J$7*#REF!))</f>
        <v>#REF!</v>
      </c>
      <c r="G77" s="3">
        <f t="shared" si="7"/>
        <v>295.39849184761385</v>
      </c>
      <c r="H77" s="3">
        <f t="shared" si="8"/>
        <v>251.26099075936798</v>
      </c>
    </row>
    <row r="78" spans="1:8" x14ac:dyDescent="0.4">
      <c r="A78">
        <v>75</v>
      </c>
      <c r="B78" s="4">
        <v>7.4999999999999997E-3</v>
      </c>
      <c r="C78">
        <f t="shared" si="5"/>
        <v>1500</v>
      </c>
      <c r="D78" s="4">
        <f t="shared" si="4"/>
        <v>7.4999999999999997E-3</v>
      </c>
      <c r="E78">
        <f t="shared" si="6"/>
        <v>275</v>
      </c>
      <c r="F78" s="3" t="e">
        <f>D78+($J$6-$J$4)*(1-EXP(-$J$7*#REF!))</f>
        <v>#REF!</v>
      </c>
      <c r="G78" s="3">
        <f t="shared" si="7"/>
        <v>296.67695410143415</v>
      </c>
      <c r="H78" s="3">
        <f t="shared" si="8"/>
        <v>251.6533245418417</v>
      </c>
    </row>
    <row r="79" spans="1:8" x14ac:dyDescent="0.4">
      <c r="A79">
        <v>76</v>
      </c>
      <c r="B79" s="4">
        <v>7.6E-3</v>
      </c>
      <c r="C79">
        <f t="shared" si="5"/>
        <v>1520</v>
      </c>
      <c r="D79" s="4">
        <f t="shared" si="4"/>
        <v>7.6E-3</v>
      </c>
      <c r="E79">
        <f t="shared" si="6"/>
        <v>276</v>
      </c>
      <c r="F79" s="3" t="e">
        <f>D79+($J$6-$J$4)*(1-EXP(-$J$7*#REF!))</f>
        <v>#REF!</v>
      </c>
      <c r="G79" s="3">
        <f t="shared" si="7"/>
        <v>297.95513803218535</v>
      </c>
      <c r="H79" s="3">
        <f t="shared" si="8"/>
        <v>252.04215306281225</v>
      </c>
    </row>
    <row r="80" spans="1:8" x14ac:dyDescent="0.4">
      <c r="A80">
        <v>77</v>
      </c>
      <c r="B80" s="4">
        <v>7.7000000000000002E-3</v>
      </c>
      <c r="C80">
        <f t="shared" si="5"/>
        <v>1540</v>
      </c>
      <c r="D80" s="4">
        <f t="shared" si="4"/>
        <v>7.7000000000000002E-3</v>
      </c>
      <c r="E80">
        <f t="shared" si="6"/>
        <v>277</v>
      </c>
      <c r="F80" s="3" t="e">
        <f>D80+($J$6-$J$4)*(1-EXP(-$J$7*#REF!))</f>
        <v>#REF!</v>
      </c>
      <c r="G80" s="3">
        <f t="shared" si="7"/>
        <v>299.23304391805141</v>
      </c>
      <c r="H80" s="3">
        <f t="shared" si="8"/>
        <v>252.42754366797237</v>
      </c>
    </row>
    <row r="81" spans="1:8" x14ac:dyDescent="0.4">
      <c r="A81">
        <v>78</v>
      </c>
      <c r="B81" s="4">
        <v>7.7999999999999996E-3</v>
      </c>
      <c r="C81">
        <f t="shared" si="5"/>
        <v>1560</v>
      </c>
      <c r="D81" s="4">
        <f t="shared" si="4"/>
        <v>7.7999999999999996E-3</v>
      </c>
      <c r="E81">
        <f t="shared" si="6"/>
        <v>278</v>
      </c>
      <c r="F81" s="3" t="e">
        <f>D81+($J$6-$J$4)*(1-EXP(-$J$7*#REF!))</f>
        <v>#REF!</v>
      </c>
      <c r="G81" s="3">
        <f t="shared" si="7"/>
        <v>300.51067203693822</v>
      </c>
      <c r="H81" s="3">
        <f t="shared" si="8"/>
        <v>252.80956173111281</v>
      </c>
    </row>
    <row r="82" spans="1:8" x14ac:dyDescent="0.4">
      <c r="A82">
        <v>79</v>
      </c>
      <c r="B82" s="4">
        <v>7.9000000000000008E-3</v>
      </c>
      <c r="C82">
        <f t="shared" si="5"/>
        <v>1580.0000000000002</v>
      </c>
      <c r="D82" s="4">
        <f t="shared" si="4"/>
        <v>7.9000000000000008E-3</v>
      </c>
      <c r="E82">
        <f t="shared" si="6"/>
        <v>279</v>
      </c>
      <c r="F82" s="3" t="e">
        <f>D82+($J$6-$J$4)*(1-EXP(-$J$7*#REF!))</f>
        <v>#REF!</v>
      </c>
      <c r="G82" s="3">
        <f t="shared" si="7"/>
        <v>301.78802266647398</v>
      </c>
      <c r="H82" s="3">
        <f t="shared" si="8"/>
        <v>253.18827073130873</v>
      </c>
    </row>
    <row r="83" spans="1:8" x14ac:dyDescent="0.4">
      <c r="A83">
        <v>80</v>
      </c>
      <c r="B83" s="4">
        <v>8.0000000000000002E-3</v>
      </c>
      <c r="C83">
        <f t="shared" si="5"/>
        <v>1600</v>
      </c>
      <c r="D83" s="4">
        <f t="shared" si="4"/>
        <v>8.0000000000000002E-3</v>
      </c>
      <c r="E83">
        <f t="shared" si="6"/>
        <v>280</v>
      </c>
      <c r="F83" s="3" t="e">
        <f>D83+($J$6-$J$4)*(1-EXP(-$J$7*#REF!))</f>
        <v>#REF!</v>
      </c>
      <c r="G83" s="3">
        <f t="shared" si="7"/>
        <v>303.06509608400927</v>
      </c>
      <c r="H83" s="3">
        <f t="shared" si="8"/>
        <v>253.56373232634039</v>
      </c>
    </row>
    <row r="84" spans="1:8" x14ac:dyDescent="0.4">
      <c r="A84">
        <v>81</v>
      </c>
      <c r="B84" s="4">
        <v>8.0999999999999996E-3</v>
      </c>
      <c r="C84">
        <f t="shared" si="5"/>
        <v>1620</v>
      </c>
      <c r="D84" s="4">
        <f t="shared" si="4"/>
        <v>8.0999999999999996E-3</v>
      </c>
      <c r="E84">
        <f t="shared" si="6"/>
        <v>281</v>
      </c>
      <c r="F84" s="3" t="e">
        <f>D84+($J$6-$J$4)*(1-EXP(-$J$7*#REF!))</f>
        <v>#REF!</v>
      </c>
      <c r="G84" s="3">
        <f t="shared" si="7"/>
        <v>304.34189256661756</v>
      </c>
      <c r="H84" s="3">
        <f t="shared" si="8"/>
        <v>253.93600642256402</v>
      </c>
    </row>
    <row r="85" spans="1:8" x14ac:dyDescent="0.4">
      <c r="A85">
        <v>82</v>
      </c>
      <c r="B85" s="4">
        <v>8.2000000000000007E-3</v>
      </c>
      <c r="C85">
        <f t="shared" si="5"/>
        <v>1640.0000000000002</v>
      </c>
      <c r="D85" s="4">
        <f t="shared" si="4"/>
        <v>8.2000000000000007E-3</v>
      </c>
      <c r="E85">
        <f t="shared" si="6"/>
        <v>282</v>
      </c>
      <c r="F85" s="3" t="e">
        <f>D85+($J$6-$J$4)*(1-EXP(-$J$7*#REF!))</f>
        <v>#REF!</v>
      </c>
      <c r="G85" s="3">
        <f t="shared" si="7"/>
        <v>305.61841239109538</v>
      </c>
      <c r="H85" s="3">
        <f t="shared" si="8"/>
        <v>254.30515124144165</v>
      </c>
    </row>
    <row r="86" spans="1:8" x14ac:dyDescent="0.4">
      <c r="A86">
        <v>83</v>
      </c>
      <c r="B86" s="4">
        <v>8.3000000000000001E-3</v>
      </c>
      <c r="C86">
        <f t="shared" si="5"/>
        <v>1660</v>
      </c>
      <c r="D86" s="4">
        <f t="shared" ref="D86:D103" si="9">A86/10000</f>
        <v>8.3000000000000001E-3</v>
      </c>
      <c r="E86">
        <f t="shared" si="6"/>
        <v>283</v>
      </c>
      <c r="F86" s="3" t="e">
        <f>D86+($J$6-$J$4)*(1-EXP(-$J$7*#REF!))</f>
        <v>#REF!</v>
      </c>
      <c r="G86" s="3">
        <f t="shared" si="7"/>
        <v>306.89465583396259</v>
      </c>
      <c r="H86" s="3">
        <f t="shared" si="8"/>
        <v>254.67122338291708</v>
      </c>
    </row>
    <row r="87" spans="1:8" x14ac:dyDescent="0.4">
      <c r="A87">
        <v>84</v>
      </c>
      <c r="B87" s="4">
        <v>8.3999999999999995E-3</v>
      </c>
      <c r="C87">
        <f t="shared" si="5"/>
        <v>1680</v>
      </c>
      <c r="D87" s="4">
        <f t="shared" si="9"/>
        <v>8.3999999999999995E-3</v>
      </c>
      <c r="E87">
        <f t="shared" si="6"/>
        <v>284</v>
      </c>
      <c r="F87" s="3" t="e">
        <f>D87+($J$6-$J$4)*(1-EXP(-$J$7*#REF!))</f>
        <v>#REF!</v>
      </c>
      <c r="G87" s="3">
        <f t="shared" si="7"/>
        <v>308.17062317146258</v>
      </c>
      <c r="H87" s="3">
        <f t="shared" si="8"/>
        <v>255.03427788581951</v>
      </c>
    </row>
    <row r="88" spans="1:8" x14ac:dyDescent="0.4">
      <c r="A88">
        <v>85</v>
      </c>
      <c r="B88" s="4">
        <v>8.5000000000000006E-3</v>
      </c>
      <c r="C88">
        <f t="shared" si="5"/>
        <v>1700.0000000000002</v>
      </c>
      <c r="D88" s="4">
        <f t="shared" si="9"/>
        <v>8.5000000000000006E-3</v>
      </c>
      <c r="E88">
        <f t="shared" si="6"/>
        <v>285</v>
      </c>
      <c r="F88" s="3" t="e">
        <f>D88+($J$6-$J$4)*(1-EXP(-$J$7*#REF!))</f>
        <v>#REF!</v>
      </c>
      <c r="G88" s="3">
        <f t="shared" si="7"/>
        <v>309.44631467956276</v>
      </c>
      <c r="H88" s="3">
        <f t="shared" si="8"/>
        <v>255.39436828545936</v>
      </c>
    </row>
    <row r="89" spans="1:8" x14ac:dyDescent="0.4">
      <c r="A89">
        <v>86</v>
      </c>
      <c r="B89" s="4">
        <v>8.6E-3</v>
      </c>
      <c r="C89">
        <f t="shared" si="5"/>
        <v>1720</v>
      </c>
      <c r="D89" s="4">
        <f t="shared" si="9"/>
        <v>8.6E-3</v>
      </c>
      <c r="E89">
        <f t="shared" si="6"/>
        <v>286</v>
      </c>
      <c r="F89" s="3" t="e">
        <f>D89+($J$6-$J$4)*(1-EXP(-$J$7*#REF!))</f>
        <v>#REF!</v>
      </c>
      <c r="G89" s="3">
        <f t="shared" si="7"/>
        <v>310.72173063395473</v>
      </c>
      <c r="H89" s="3">
        <f t="shared" si="8"/>
        <v>255.7515466685733</v>
      </c>
    </row>
    <row r="90" spans="1:8" x14ac:dyDescent="0.4">
      <c r="A90">
        <v>87</v>
      </c>
      <c r="B90" s="4">
        <v>8.6999999999999994E-3</v>
      </c>
      <c r="C90">
        <f t="shared" si="5"/>
        <v>1739.9999999999998</v>
      </c>
      <c r="D90" s="4">
        <f t="shared" si="9"/>
        <v>8.6999999999999994E-3</v>
      </c>
      <c r="E90">
        <f t="shared" si="6"/>
        <v>287</v>
      </c>
      <c r="F90" s="3" t="e">
        <f>D90+($J$6-$J$4)*(1-EXP(-$J$7*#REF!))</f>
        <v>#REF!</v>
      </c>
      <c r="G90" s="3">
        <f t="shared" si="7"/>
        <v>311.9968713100543</v>
      </c>
      <c r="H90" s="3">
        <f t="shared" si="8"/>
        <v>256.10586372576392</v>
      </c>
    </row>
    <row r="91" spans="1:8" x14ac:dyDescent="0.4">
      <c r="A91">
        <v>88</v>
      </c>
      <c r="B91" s="4">
        <v>8.8000000000000005E-3</v>
      </c>
      <c r="C91">
        <f t="shared" si="5"/>
        <v>1760</v>
      </c>
      <c r="D91" s="4">
        <f t="shared" si="9"/>
        <v>8.8000000000000005E-3</v>
      </c>
      <c r="E91">
        <f t="shared" si="6"/>
        <v>288</v>
      </c>
      <c r="F91" s="3" t="e">
        <f>D91+($J$6-$J$4)*(1-EXP(-$J$7*#REF!))</f>
        <v>#REF!</v>
      </c>
      <c r="G91" s="3">
        <f t="shared" si="7"/>
        <v>313.27173698300231</v>
      </c>
      <c r="H91" s="3">
        <f t="shared" si="8"/>
        <v>256.4573688015704</v>
      </c>
    </row>
    <row r="92" spans="1:8" x14ac:dyDescent="0.4">
      <c r="A92">
        <v>89</v>
      </c>
      <c r="B92" s="4">
        <v>8.8999999999999999E-3</v>
      </c>
      <c r="C92">
        <f t="shared" si="5"/>
        <v>1780</v>
      </c>
      <c r="D92" s="4">
        <f t="shared" si="9"/>
        <v>8.8999999999999999E-3</v>
      </c>
      <c r="E92">
        <f t="shared" si="6"/>
        <v>289</v>
      </c>
      <c r="F92" s="3" t="e">
        <f>D92+($J$6-$J$4)*(1-EXP(-$J$7*#REF!))</f>
        <v>#REF!</v>
      </c>
      <c r="G92" s="3">
        <f t="shared" si="7"/>
        <v>314.54632792766444</v>
      </c>
      <c r="H92" s="3">
        <f t="shared" si="8"/>
        <v>256.80610994229772</v>
      </c>
    </row>
    <row r="93" spans="1:8" x14ac:dyDescent="0.4">
      <c r="A93">
        <v>90</v>
      </c>
      <c r="B93" s="4">
        <v>8.9999999999999993E-3</v>
      </c>
      <c r="C93">
        <f t="shared" si="5"/>
        <v>1799.9999999999998</v>
      </c>
      <c r="D93" s="4">
        <f t="shared" si="9"/>
        <v>8.9999999999999993E-3</v>
      </c>
      <c r="E93">
        <f t="shared" si="6"/>
        <v>290</v>
      </c>
      <c r="F93" s="3" t="e">
        <f>D93+($J$6-$J$4)*(1-EXP(-$J$7*#REF!))</f>
        <v>#REF!</v>
      </c>
      <c r="G93" s="3">
        <f t="shared" si="7"/>
        <v>315.82064441863156</v>
      </c>
      <c r="H93" s="3">
        <f t="shared" si="8"/>
        <v>257.15213394172633</v>
      </c>
    </row>
    <row r="94" spans="1:8" x14ac:dyDescent="0.4">
      <c r="A94">
        <v>91</v>
      </c>
      <c r="B94" s="4">
        <v>9.1000000000000004E-3</v>
      </c>
      <c r="C94">
        <f t="shared" si="5"/>
        <v>1820</v>
      </c>
      <c r="D94" s="4">
        <f t="shared" si="9"/>
        <v>9.1000000000000004E-3</v>
      </c>
      <c r="E94">
        <f t="shared" si="6"/>
        <v>291</v>
      </c>
      <c r="F94" s="3" t="e">
        <f>D94+($J$6-$J$4)*(1-EXP(-$J$7*#REF!))</f>
        <v>#REF!</v>
      </c>
      <c r="G94" s="3">
        <f t="shared" si="7"/>
        <v>317.09468673022025</v>
      </c>
      <c r="H94" s="3">
        <f t="shared" si="8"/>
        <v>257.4954863848107</v>
      </c>
    </row>
    <row r="95" spans="1:8" x14ac:dyDescent="0.4">
      <c r="A95">
        <v>92</v>
      </c>
      <c r="B95" s="4">
        <v>9.1999999999999998E-3</v>
      </c>
      <c r="C95">
        <f t="shared" si="5"/>
        <v>1840</v>
      </c>
      <c r="D95" s="4">
        <f t="shared" si="9"/>
        <v>9.1999999999999998E-3</v>
      </c>
      <c r="E95">
        <f t="shared" si="6"/>
        <v>292</v>
      </c>
      <c r="F95" s="3" t="e">
        <f>D95+($J$6-$J$4)*(1-EXP(-$J$7*#REF!))</f>
        <v>#REF!</v>
      </c>
      <c r="G95" s="3">
        <f t="shared" si="7"/>
        <v>318.3684551364729</v>
      </c>
      <c r="H95" s="3">
        <f t="shared" si="8"/>
        <v>257.83621168947701</v>
      </c>
    </row>
    <row r="96" spans="1:8" x14ac:dyDescent="0.4">
      <c r="A96">
        <v>93</v>
      </c>
      <c r="B96" s="4">
        <v>9.2999999999999992E-3</v>
      </c>
      <c r="C96">
        <f t="shared" si="5"/>
        <v>1859.9999999999998</v>
      </c>
      <c r="D96" s="4">
        <f t="shared" si="9"/>
        <v>9.2999999999999992E-3</v>
      </c>
      <c r="E96">
        <f t="shared" si="6"/>
        <v>293</v>
      </c>
      <c r="F96" s="3" t="e">
        <f>D96+($J$6-$J$4)*(1-EXP(-$J$7*#REF!))</f>
        <v>#REF!</v>
      </c>
      <c r="G96" s="3">
        <f t="shared" si="7"/>
        <v>319.64194991115784</v>
      </c>
      <c r="H96" s="3">
        <f t="shared" si="8"/>
        <v>258.17435314661532</v>
      </c>
    </row>
    <row r="97" spans="1:8" x14ac:dyDescent="0.4">
      <c r="A97">
        <v>94</v>
      </c>
      <c r="B97" s="4">
        <v>9.4000000000000004E-3</v>
      </c>
      <c r="C97">
        <f t="shared" si="5"/>
        <v>1880</v>
      </c>
      <c r="D97" s="4">
        <f t="shared" si="9"/>
        <v>9.4000000000000004E-3</v>
      </c>
      <c r="E97">
        <f t="shared" si="6"/>
        <v>294</v>
      </c>
      <c r="F97" s="3" t="e">
        <f>D97+($J$6-$J$4)*(1-EXP(-$J$7*#REF!))</f>
        <v>#REF!</v>
      </c>
      <c r="G97" s="3">
        <f t="shared" si="7"/>
        <v>320.91517132776988</v>
      </c>
      <c r="H97" s="3">
        <f t="shared" si="8"/>
        <v>258.50995295836094</v>
      </c>
    </row>
    <row r="98" spans="1:8" x14ac:dyDescent="0.4">
      <c r="A98">
        <v>95</v>
      </c>
      <c r="B98" s="4">
        <v>9.4999999999999998E-3</v>
      </c>
      <c r="C98">
        <f t="shared" si="5"/>
        <v>1900</v>
      </c>
      <c r="D98" s="4">
        <f t="shared" si="9"/>
        <v>9.4999999999999998E-3</v>
      </c>
      <c r="E98">
        <f t="shared" si="6"/>
        <v>295</v>
      </c>
      <c r="F98" s="3" t="e">
        <f>D98+($J$6-$J$4)*(1-EXP(-$J$7*#REF!))</f>
        <v>#REF!</v>
      </c>
      <c r="G98" s="3">
        <f t="shared" si="7"/>
        <v>322.18811965953057</v>
      </c>
      <c r="H98" s="3">
        <f t="shared" si="8"/>
        <v>258.84305227475278</v>
      </c>
    </row>
    <row r="99" spans="1:8" x14ac:dyDescent="0.4">
      <c r="A99">
        <v>96</v>
      </c>
      <c r="B99" s="4">
        <v>9.5999999999999992E-3</v>
      </c>
      <c r="C99">
        <f t="shared" si="5"/>
        <v>1919.9999999999998</v>
      </c>
      <c r="D99" s="4">
        <f t="shared" si="9"/>
        <v>9.5999999999999992E-3</v>
      </c>
      <c r="E99">
        <f t="shared" si="6"/>
        <v>296</v>
      </c>
      <c r="F99" s="3" t="e">
        <f>D99+($J$6-$J$4)*(1-EXP(-$J$7*#REF!))</f>
        <v>#REF!</v>
      </c>
      <c r="G99" s="3">
        <f t="shared" si="7"/>
        <v>323.46079517938813</v>
      </c>
      <c r="H99" s="3">
        <f t="shared" si="8"/>
        <v>259.17369122884998</v>
      </c>
    </row>
    <row r="100" spans="1:8" x14ac:dyDescent="0.4">
      <c r="A100">
        <v>97</v>
      </c>
      <c r="B100" s="4">
        <v>9.7000000000000003E-3</v>
      </c>
      <c r="C100">
        <f t="shared" si="5"/>
        <v>1940</v>
      </c>
      <c r="D100" s="4">
        <f t="shared" si="9"/>
        <v>9.7000000000000003E-3</v>
      </c>
      <c r="E100">
        <f t="shared" si="6"/>
        <v>297</v>
      </c>
      <c r="F100" s="3" t="e">
        <f>D100+($J$6-$J$4)*(1-EXP(-$J$7*#REF!))</f>
        <v>#REF!</v>
      </c>
      <c r="G100" s="3">
        <f t="shared" si="7"/>
        <v>324.73319816001822</v>
      </c>
      <c r="H100" s="3">
        <f t="shared" si="8"/>
        <v>259.50190897038522</v>
      </c>
    </row>
    <row r="101" spans="1:8" x14ac:dyDescent="0.4">
      <c r="A101">
        <v>98</v>
      </c>
      <c r="B101" s="4">
        <v>9.7999999999999997E-3</v>
      </c>
      <c r="C101">
        <f t="shared" si="5"/>
        <v>1960</v>
      </c>
      <c r="D101" s="4">
        <f t="shared" si="9"/>
        <v>9.7999999999999997E-3</v>
      </c>
      <c r="E101">
        <f t="shared" si="6"/>
        <v>298</v>
      </c>
      <c r="F101" s="3" t="e">
        <f>D101+($J$6-$J$4)*(1-EXP(-$J$7*#REF!))</f>
        <v>#REF!</v>
      </c>
      <c r="G101" s="3">
        <f t="shared" si="7"/>
        <v>326.00532887382371</v>
      </c>
      <c r="H101" s="3">
        <f t="shared" si="8"/>
        <v>259.82774369802684</v>
      </c>
    </row>
    <row r="102" spans="1:8" x14ac:dyDescent="0.4">
      <c r="A102">
        <v>99</v>
      </c>
      <c r="B102" s="4">
        <v>9.9000000000000008E-3</v>
      </c>
      <c r="C102">
        <f t="shared" si="5"/>
        <v>1980.0000000000002</v>
      </c>
      <c r="D102" s="4">
        <f t="shared" si="9"/>
        <v>9.9000000000000008E-3</v>
      </c>
      <c r="E102">
        <f t="shared" si="6"/>
        <v>299</v>
      </c>
      <c r="F102" s="3" t="e">
        <f>D102+($J$6-$J$4)*(1-EXP(-$J$7*#REF!))</f>
        <v>#REF!</v>
      </c>
      <c r="G102" s="3">
        <f t="shared" si="7"/>
        <v>327.27718759293543</v>
      </c>
      <c r="H102" s="3">
        <f t="shared" si="8"/>
        <v>260.1512326903196</v>
      </c>
    </row>
    <row r="103" spans="1:8" x14ac:dyDescent="0.4">
      <c r="A103">
        <v>100</v>
      </c>
      <c r="B103" s="4">
        <v>0.01</v>
      </c>
      <c r="C103">
        <f t="shared" si="5"/>
        <v>2000</v>
      </c>
      <c r="D103" s="4">
        <f t="shared" si="9"/>
        <v>0.01</v>
      </c>
      <c r="E103">
        <f t="shared" si="6"/>
        <v>300</v>
      </c>
      <c r="F103" s="3" t="e">
        <f>D103+($J$6-$J$4)*(1-EXP(-$J$7*#REF!))</f>
        <v>#REF!</v>
      </c>
      <c r="G103" s="3">
        <f t="shared" si="7"/>
        <v>328.54877458921214</v>
      </c>
      <c r="H103" s="3">
        <f t="shared" si="8"/>
        <v>260.47241233536749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627F-0A1F-4E1A-8931-7807361C055A}">
  <dimension ref="A1:H101"/>
  <sheetViews>
    <sheetView zoomScaleNormal="100" workbookViewId="0">
      <selection activeCell="Y17" sqref="Y17"/>
    </sheetView>
  </sheetViews>
  <sheetFormatPr defaultRowHeight="18.75" x14ac:dyDescent="0.4"/>
  <cols>
    <col min="1" max="1" width="7.75" bestFit="1" customWidth="1"/>
    <col min="2" max="2" width="11.25" bestFit="1" customWidth="1"/>
    <col min="3" max="3" width="7.875" bestFit="1" customWidth="1"/>
    <col min="4" max="4" width="13.375" bestFit="1" customWidth="1"/>
    <col min="5" max="5" width="11.375" bestFit="1" customWidth="1"/>
    <col min="6" max="6" width="11" bestFit="1" customWidth="1"/>
    <col min="7" max="7" width="21" bestFit="1" customWidth="1"/>
    <col min="8" max="8" width="19.25" bestFit="1" customWidth="1"/>
  </cols>
  <sheetData>
    <row r="1" spans="1:8" x14ac:dyDescent="0.4">
      <c r="A1" t="s">
        <v>20</v>
      </c>
      <c r="B1" t="s">
        <v>21</v>
      </c>
      <c r="C1" t="s">
        <v>22</v>
      </c>
      <c r="D1" t="s">
        <v>28</v>
      </c>
      <c r="E1" t="s">
        <v>24</v>
      </c>
      <c r="F1" t="s">
        <v>25</v>
      </c>
      <c r="G1" t="s">
        <v>27</v>
      </c>
    </row>
    <row r="2" spans="1:8" x14ac:dyDescent="0.4">
      <c r="A2">
        <v>1</v>
      </c>
      <c r="B2">
        <v>1</v>
      </c>
      <c r="C2">
        <v>20</v>
      </c>
      <c r="D2">
        <v>0</v>
      </c>
      <c r="E2">
        <v>20</v>
      </c>
      <c r="F2">
        <v>1E-4</v>
      </c>
      <c r="G2">
        <f t="shared" ref="G2:G33" si="0">F2-D2</f>
        <v>1E-4</v>
      </c>
    </row>
    <row r="3" spans="1:8" x14ac:dyDescent="0.4">
      <c r="A3">
        <v>2</v>
      </c>
      <c r="B3">
        <v>1</v>
      </c>
      <c r="C3">
        <v>40</v>
      </c>
      <c r="D3">
        <v>0</v>
      </c>
      <c r="E3">
        <v>40</v>
      </c>
      <c r="F3">
        <v>2.0000000000000001E-4</v>
      </c>
      <c r="G3">
        <f t="shared" si="0"/>
        <v>2.0000000000000001E-4</v>
      </c>
    </row>
    <row r="4" spans="1:8" x14ac:dyDescent="0.4">
      <c r="A4">
        <v>3</v>
      </c>
      <c r="B4">
        <v>1</v>
      </c>
      <c r="C4">
        <v>60</v>
      </c>
      <c r="D4">
        <v>0</v>
      </c>
      <c r="E4">
        <v>60</v>
      </c>
      <c r="F4">
        <v>2.9999999999999997E-4</v>
      </c>
      <c r="G4">
        <f t="shared" si="0"/>
        <v>2.9999999999999997E-4</v>
      </c>
    </row>
    <row r="5" spans="1:8" x14ac:dyDescent="0.4">
      <c r="A5">
        <v>4</v>
      </c>
      <c r="B5">
        <v>1</v>
      </c>
      <c r="C5">
        <v>80</v>
      </c>
      <c r="D5">
        <v>0</v>
      </c>
      <c r="E5">
        <v>80</v>
      </c>
      <c r="F5">
        <v>4.0000000000000002E-4</v>
      </c>
      <c r="G5">
        <f t="shared" si="0"/>
        <v>4.0000000000000002E-4</v>
      </c>
    </row>
    <row r="6" spans="1:8" x14ac:dyDescent="0.4">
      <c r="A6">
        <v>5</v>
      </c>
      <c r="B6">
        <v>1</v>
      </c>
      <c r="C6">
        <v>100</v>
      </c>
      <c r="D6">
        <v>0</v>
      </c>
      <c r="E6">
        <v>100</v>
      </c>
      <c r="F6">
        <v>5.0000000000000001E-4</v>
      </c>
      <c r="G6">
        <f t="shared" si="0"/>
        <v>5.0000000000000001E-4</v>
      </c>
    </row>
    <row r="7" spans="1:8" x14ac:dyDescent="0.4">
      <c r="A7">
        <v>6</v>
      </c>
      <c r="B7">
        <v>1</v>
      </c>
      <c r="C7">
        <v>120</v>
      </c>
      <c r="D7">
        <v>0</v>
      </c>
      <c r="E7">
        <v>120</v>
      </c>
      <c r="F7">
        <v>5.9999999999999995E-4</v>
      </c>
      <c r="G7">
        <f t="shared" si="0"/>
        <v>5.9999999999999995E-4</v>
      </c>
    </row>
    <row r="8" spans="1:8" x14ac:dyDescent="0.4">
      <c r="A8">
        <v>7</v>
      </c>
      <c r="B8">
        <v>1</v>
      </c>
      <c r="C8">
        <v>140</v>
      </c>
      <c r="D8">
        <v>0</v>
      </c>
      <c r="E8">
        <v>140</v>
      </c>
      <c r="F8">
        <v>6.9999999999999999E-4</v>
      </c>
      <c r="G8">
        <f t="shared" si="0"/>
        <v>6.9999999999999999E-4</v>
      </c>
    </row>
    <row r="9" spans="1:8" x14ac:dyDescent="0.4">
      <c r="A9">
        <v>8</v>
      </c>
      <c r="B9">
        <v>1</v>
      </c>
      <c r="C9">
        <v>160</v>
      </c>
      <c r="D9">
        <v>0</v>
      </c>
      <c r="E9">
        <v>160</v>
      </c>
      <c r="F9">
        <v>8.0000000000000004E-4</v>
      </c>
      <c r="G9">
        <f t="shared" si="0"/>
        <v>8.0000000000000004E-4</v>
      </c>
    </row>
    <row r="10" spans="1:8" x14ac:dyDescent="0.4">
      <c r="A10">
        <v>9</v>
      </c>
      <c r="B10">
        <v>1</v>
      </c>
      <c r="C10">
        <v>180</v>
      </c>
      <c r="D10">
        <v>0</v>
      </c>
      <c r="E10">
        <v>180</v>
      </c>
      <c r="F10">
        <v>8.9999999999999998E-4</v>
      </c>
      <c r="G10">
        <f t="shared" si="0"/>
        <v>8.9999999999999998E-4</v>
      </c>
    </row>
    <row r="11" spans="1:8" x14ac:dyDescent="0.4">
      <c r="A11">
        <v>10</v>
      </c>
      <c r="B11">
        <v>1</v>
      </c>
      <c r="C11">
        <v>200</v>
      </c>
      <c r="D11">
        <v>2.3494000000000002E-19</v>
      </c>
      <c r="E11">
        <v>200</v>
      </c>
      <c r="F11">
        <v>1E-3</v>
      </c>
      <c r="G11">
        <f t="shared" si="0"/>
        <v>9.999999999999998E-4</v>
      </c>
    </row>
    <row r="12" spans="1:8" x14ac:dyDescent="0.4">
      <c r="A12">
        <v>11</v>
      </c>
      <c r="B12">
        <v>1</v>
      </c>
      <c r="C12">
        <v>200.95</v>
      </c>
      <c r="D12">
        <v>9.5237999999999999E-5</v>
      </c>
      <c r="E12">
        <v>200.95</v>
      </c>
      <c r="F12">
        <v>1.1000000000000001E-3</v>
      </c>
      <c r="G12">
        <f>F12-D12</f>
        <v>1.004762E-3</v>
      </c>
      <c r="H12" t="s">
        <v>26</v>
      </c>
    </row>
    <row r="13" spans="1:8" x14ac:dyDescent="0.4">
      <c r="A13">
        <v>12</v>
      </c>
      <c r="B13">
        <v>1</v>
      </c>
      <c r="C13">
        <v>201.9</v>
      </c>
      <c r="D13">
        <v>1.9048000000000001E-4</v>
      </c>
      <c r="E13">
        <v>201.9</v>
      </c>
      <c r="F13">
        <v>1.1999999999999999E-3</v>
      </c>
      <c r="G13">
        <f t="shared" si="0"/>
        <v>1.0095199999999999E-3</v>
      </c>
    </row>
    <row r="14" spans="1:8" x14ac:dyDescent="0.4">
      <c r="A14">
        <v>13</v>
      </c>
      <c r="B14">
        <v>1</v>
      </c>
      <c r="C14">
        <v>202.86</v>
      </c>
      <c r="D14">
        <v>2.8571E-4</v>
      </c>
      <c r="E14">
        <v>202.86</v>
      </c>
      <c r="F14">
        <v>1.2999999999999999E-3</v>
      </c>
      <c r="G14">
        <f t="shared" si="0"/>
        <v>1.0142899999999999E-3</v>
      </c>
    </row>
    <row r="15" spans="1:8" x14ac:dyDescent="0.4">
      <c r="A15">
        <v>14</v>
      </c>
      <c r="B15">
        <v>1</v>
      </c>
      <c r="C15">
        <v>203.81</v>
      </c>
      <c r="D15">
        <v>3.8095000000000002E-4</v>
      </c>
      <c r="E15">
        <v>203.81</v>
      </c>
      <c r="F15">
        <v>1.4E-3</v>
      </c>
      <c r="G15">
        <f t="shared" si="0"/>
        <v>1.0190500000000001E-3</v>
      </c>
    </row>
    <row r="16" spans="1:8" x14ac:dyDescent="0.4">
      <c r="A16">
        <v>15</v>
      </c>
      <c r="B16">
        <v>1</v>
      </c>
      <c r="C16">
        <v>204.76</v>
      </c>
      <c r="D16">
        <v>4.7618999999999998E-4</v>
      </c>
      <c r="E16">
        <v>204.76</v>
      </c>
      <c r="F16">
        <v>1.5E-3</v>
      </c>
      <c r="G16">
        <f t="shared" si="0"/>
        <v>1.02381E-3</v>
      </c>
    </row>
    <row r="17" spans="1:7" x14ac:dyDescent="0.4">
      <c r="A17">
        <v>16</v>
      </c>
      <c r="B17">
        <v>1</v>
      </c>
      <c r="C17">
        <v>205.71</v>
      </c>
      <c r="D17">
        <v>5.7143000000000005E-4</v>
      </c>
      <c r="E17">
        <v>205.71</v>
      </c>
      <c r="F17">
        <v>1.6000000000000001E-3</v>
      </c>
      <c r="G17">
        <f t="shared" si="0"/>
        <v>1.0285699999999999E-3</v>
      </c>
    </row>
    <row r="18" spans="1:7" x14ac:dyDescent="0.4">
      <c r="A18">
        <v>17</v>
      </c>
      <c r="B18">
        <v>1</v>
      </c>
      <c r="C18">
        <v>206.67</v>
      </c>
      <c r="D18">
        <v>6.6666999999999996E-4</v>
      </c>
      <c r="E18">
        <v>206.67</v>
      </c>
      <c r="F18">
        <v>1.6999999999999999E-3</v>
      </c>
      <c r="G18">
        <f t="shared" si="0"/>
        <v>1.0333299999999998E-3</v>
      </c>
    </row>
    <row r="19" spans="1:7" x14ac:dyDescent="0.4">
      <c r="A19">
        <v>18</v>
      </c>
      <c r="B19">
        <v>1</v>
      </c>
      <c r="C19">
        <v>207.62</v>
      </c>
      <c r="D19">
        <v>7.6190000000000003E-4</v>
      </c>
      <c r="E19">
        <v>207.62</v>
      </c>
      <c r="F19">
        <v>1.8E-3</v>
      </c>
      <c r="G19">
        <f t="shared" si="0"/>
        <v>1.0380999999999999E-3</v>
      </c>
    </row>
    <row r="20" spans="1:7" x14ac:dyDescent="0.4">
      <c r="A20">
        <v>19</v>
      </c>
      <c r="B20">
        <v>1</v>
      </c>
      <c r="C20">
        <v>208.57</v>
      </c>
      <c r="D20">
        <v>8.5714000000000005E-4</v>
      </c>
      <c r="E20">
        <v>208.57</v>
      </c>
      <c r="F20">
        <v>1.9E-3</v>
      </c>
      <c r="G20">
        <f t="shared" si="0"/>
        <v>1.0428600000000001E-3</v>
      </c>
    </row>
    <row r="21" spans="1:7" x14ac:dyDescent="0.4">
      <c r="A21">
        <v>20</v>
      </c>
      <c r="B21">
        <v>1</v>
      </c>
      <c r="C21">
        <v>209.52</v>
      </c>
      <c r="D21">
        <v>9.5237999999999996E-4</v>
      </c>
      <c r="E21">
        <v>209.52</v>
      </c>
      <c r="F21">
        <v>2E-3</v>
      </c>
      <c r="G21">
        <f t="shared" si="0"/>
        <v>1.04762E-3</v>
      </c>
    </row>
    <row r="22" spans="1:7" x14ac:dyDescent="0.4">
      <c r="A22">
        <v>21</v>
      </c>
      <c r="B22">
        <v>1</v>
      </c>
      <c r="C22">
        <v>210.48</v>
      </c>
      <c r="D22">
        <v>1.0476000000000001E-3</v>
      </c>
      <c r="E22">
        <v>210.48</v>
      </c>
      <c r="F22">
        <v>2.0999999999999999E-3</v>
      </c>
      <c r="G22">
        <f t="shared" si="0"/>
        <v>1.0523999999999998E-3</v>
      </c>
    </row>
    <row r="23" spans="1:7" x14ac:dyDescent="0.4">
      <c r="A23">
        <v>22</v>
      </c>
      <c r="B23">
        <v>1</v>
      </c>
      <c r="C23">
        <v>211.43</v>
      </c>
      <c r="D23">
        <v>1.1429000000000001E-3</v>
      </c>
      <c r="E23">
        <v>211.43</v>
      </c>
      <c r="F23">
        <v>2.2000000000000001E-3</v>
      </c>
      <c r="G23">
        <f t="shared" si="0"/>
        <v>1.0571000000000001E-3</v>
      </c>
    </row>
    <row r="24" spans="1:7" x14ac:dyDescent="0.4">
      <c r="A24">
        <v>23</v>
      </c>
      <c r="B24">
        <v>1</v>
      </c>
      <c r="C24">
        <v>212.38</v>
      </c>
      <c r="D24">
        <v>1.2381E-3</v>
      </c>
      <c r="E24">
        <v>212.38</v>
      </c>
      <c r="F24">
        <v>2.3E-3</v>
      </c>
      <c r="G24">
        <f t="shared" si="0"/>
        <v>1.0619E-3</v>
      </c>
    </row>
    <row r="25" spans="1:7" x14ac:dyDescent="0.4">
      <c r="A25">
        <v>24</v>
      </c>
      <c r="B25">
        <v>1</v>
      </c>
      <c r="C25">
        <v>213.33</v>
      </c>
      <c r="D25">
        <v>1.3332999999999999E-3</v>
      </c>
      <c r="E25">
        <v>213.33</v>
      </c>
      <c r="F25">
        <v>2.3999999999999998E-3</v>
      </c>
      <c r="G25">
        <f t="shared" si="0"/>
        <v>1.0666999999999999E-3</v>
      </c>
    </row>
    <row r="26" spans="1:7" x14ac:dyDescent="0.4">
      <c r="A26">
        <v>25</v>
      </c>
      <c r="B26">
        <v>1</v>
      </c>
      <c r="C26">
        <v>214.29</v>
      </c>
      <c r="D26">
        <v>1.4285999999999999E-3</v>
      </c>
      <c r="E26">
        <v>214.29</v>
      </c>
      <c r="F26">
        <v>2.5000000000000001E-3</v>
      </c>
      <c r="G26">
        <f t="shared" si="0"/>
        <v>1.0714000000000001E-3</v>
      </c>
    </row>
    <row r="27" spans="1:7" x14ac:dyDescent="0.4">
      <c r="A27">
        <v>26</v>
      </c>
      <c r="B27">
        <v>1</v>
      </c>
      <c r="C27">
        <v>215.24</v>
      </c>
      <c r="D27">
        <v>1.5238000000000001E-3</v>
      </c>
      <c r="E27">
        <v>215.24</v>
      </c>
      <c r="F27">
        <v>2.5999999999999999E-3</v>
      </c>
      <c r="G27">
        <f t="shared" si="0"/>
        <v>1.0761999999999998E-3</v>
      </c>
    </row>
    <row r="28" spans="1:7" x14ac:dyDescent="0.4">
      <c r="A28">
        <v>27</v>
      </c>
      <c r="B28">
        <v>1</v>
      </c>
      <c r="C28">
        <v>216.19</v>
      </c>
      <c r="D28">
        <v>1.619E-3</v>
      </c>
      <c r="E28">
        <v>216.19</v>
      </c>
      <c r="F28">
        <v>2.7000000000000001E-3</v>
      </c>
      <c r="G28">
        <f t="shared" si="0"/>
        <v>1.0810000000000001E-3</v>
      </c>
    </row>
    <row r="29" spans="1:7" x14ac:dyDescent="0.4">
      <c r="A29">
        <v>28</v>
      </c>
      <c r="B29">
        <v>1</v>
      </c>
      <c r="C29">
        <v>217.14</v>
      </c>
      <c r="D29">
        <v>1.7143E-3</v>
      </c>
      <c r="E29">
        <v>217.14</v>
      </c>
      <c r="F29">
        <v>2.8E-3</v>
      </c>
      <c r="G29">
        <f t="shared" si="0"/>
        <v>1.0857E-3</v>
      </c>
    </row>
    <row r="30" spans="1:7" x14ac:dyDescent="0.4">
      <c r="A30">
        <v>29</v>
      </c>
      <c r="B30">
        <v>1</v>
      </c>
      <c r="C30">
        <v>218.1</v>
      </c>
      <c r="D30">
        <v>1.8094999999999999E-3</v>
      </c>
      <c r="E30">
        <v>218.1</v>
      </c>
      <c r="F30">
        <v>2.8999999999999998E-3</v>
      </c>
      <c r="G30">
        <f t="shared" si="0"/>
        <v>1.0904999999999999E-3</v>
      </c>
    </row>
    <row r="31" spans="1:7" x14ac:dyDescent="0.4">
      <c r="A31">
        <v>30</v>
      </c>
      <c r="B31">
        <v>1</v>
      </c>
      <c r="C31">
        <v>219.05</v>
      </c>
      <c r="D31">
        <v>1.9047999999999999E-3</v>
      </c>
      <c r="E31">
        <v>219.05</v>
      </c>
      <c r="F31">
        <v>3.0000000000000001E-3</v>
      </c>
      <c r="G31">
        <f t="shared" si="0"/>
        <v>1.0952000000000002E-3</v>
      </c>
    </row>
    <row r="32" spans="1:7" x14ac:dyDescent="0.4">
      <c r="A32">
        <v>31</v>
      </c>
      <c r="B32">
        <v>1</v>
      </c>
      <c r="C32">
        <v>220</v>
      </c>
      <c r="D32">
        <v>2E-3</v>
      </c>
      <c r="E32">
        <v>220</v>
      </c>
      <c r="F32">
        <v>3.0999999999999999E-3</v>
      </c>
      <c r="G32">
        <f t="shared" si="0"/>
        <v>1.0999999999999998E-3</v>
      </c>
    </row>
    <row r="33" spans="1:7" x14ac:dyDescent="0.4">
      <c r="A33">
        <v>32</v>
      </c>
      <c r="B33">
        <v>1</v>
      </c>
      <c r="C33">
        <v>220.95</v>
      </c>
      <c r="D33">
        <v>2.0952000000000002E-3</v>
      </c>
      <c r="E33">
        <v>220.95</v>
      </c>
      <c r="F33">
        <v>3.2000000000000002E-3</v>
      </c>
      <c r="G33">
        <f t="shared" si="0"/>
        <v>1.1048E-3</v>
      </c>
    </row>
    <row r="34" spans="1:7" x14ac:dyDescent="0.4">
      <c r="A34">
        <v>33</v>
      </c>
      <c r="B34">
        <v>1</v>
      </c>
      <c r="C34">
        <v>221.9</v>
      </c>
      <c r="D34">
        <v>2.1905000000000002E-3</v>
      </c>
      <c r="E34">
        <v>221.9</v>
      </c>
      <c r="F34">
        <v>3.3E-3</v>
      </c>
      <c r="G34">
        <f t="shared" ref="G34:G65" si="1">F34-D34</f>
        <v>1.1094999999999998E-3</v>
      </c>
    </row>
    <row r="35" spans="1:7" x14ac:dyDescent="0.4">
      <c r="A35">
        <v>34</v>
      </c>
      <c r="B35">
        <v>1</v>
      </c>
      <c r="C35">
        <v>222.86</v>
      </c>
      <c r="D35">
        <v>2.2856999999999999E-3</v>
      </c>
      <c r="E35">
        <v>222.86</v>
      </c>
      <c r="F35">
        <v>3.3999999999999998E-3</v>
      </c>
      <c r="G35">
        <f t="shared" si="1"/>
        <v>1.1142999999999999E-3</v>
      </c>
    </row>
    <row r="36" spans="1:7" x14ac:dyDescent="0.4">
      <c r="A36">
        <v>35</v>
      </c>
      <c r="B36">
        <v>1</v>
      </c>
      <c r="C36">
        <v>223.81</v>
      </c>
      <c r="D36">
        <v>2.3809999999999999E-3</v>
      </c>
      <c r="E36">
        <v>223.81</v>
      </c>
      <c r="F36">
        <v>3.5000000000000001E-3</v>
      </c>
      <c r="G36">
        <f t="shared" si="1"/>
        <v>1.1190000000000002E-3</v>
      </c>
    </row>
    <row r="37" spans="1:7" x14ac:dyDescent="0.4">
      <c r="A37">
        <v>36</v>
      </c>
      <c r="B37">
        <v>1</v>
      </c>
      <c r="C37">
        <v>224.76</v>
      </c>
      <c r="D37">
        <v>2.4762E-3</v>
      </c>
      <c r="E37">
        <v>224.76</v>
      </c>
      <c r="F37">
        <v>3.5999999999999999E-3</v>
      </c>
      <c r="G37">
        <f t="shared" si="1"/>
        <v>1.1237999999999999E-3</v>
      </c>
    </row>
    <row r="38" spans="1:7" x14ac:dyDescent="0.4">
      <c r="A38">
        <v>37</v>
      </c>
      <c r="B38">
        <v>1</v>
      </c>
      <c r="C38">
        <v>225.71</v>
      </c>
      <c r="D38">
        <v>2.5714000000000002E-3</v>
      </c>
      <c r="E38">
        <v>225.71</v>
      </c>
      <c r="F38">
        <v>3.7000000000000002E-3</v>
      </c>
      <c r="G38">
        <f t="shared" si="1"/>
        <v>1.1286E-3</v>
      </c>
    </row>
    <row r="39" spans="1:7" x14ac:dyDescent="0.4">
      <c r="A39">
        <v>38</v>
      </c>
      <c r="B39">
        <v>1</v>
      </c>
      <c r="C39">
        <v>226.67</v>
      </c>
      <c r="D39">
        <v>2.6667000000000001E-3</v>
      </c>
      <c r="E39">
        <v>226.67</v>
      </c>
      <c r="F39">
        <v>3.8E-3</v>
      </c>
      <c r="G39">
        <f t="shared" si="1"/>
        <v>1.1332999999999998E-3</v>
      </c>
    </row>
    <row r="40" spans="1:7" x14ac:dyDescent="0.4">
      <c r="A40">
        <v>39</v>
      </c>
      <c r="B40">
        <v>1</v>
      </c>
      <c r="C40">
        <v>227.62</v>
      </c>
      <c r="D40">
        <v>2.7618999999999999E-3</v>
      </c>
      <c r="E40">
        <v>227.62</v>
      </c>
      <c r="F40">
        <v>3.8999999999999998E-3</v>
      </c>
      <c r="G40">
        <f t="shared" si="1"/>
        <v>1.1381E-3</v>
      </c>
    </row>
    <row r="41" spans="1:7" x14ac:dyDescent="0.4">
      <c r="A41">
        <v>40</v>
      </c>
      <c r="B41">
        <v>1</v>
      </c>
      <c r="C41">
        <v>228.57</v>
      </c>
      <c r="D41">
        <v>2.8571E-3</v>
      </c>
      <c r="E41">
        <v>228.57</v>
      </c>
      <c r="F41">
        <v>4.0000000000000001E-3</v>
      </c>
      <c r="G41">
        <f t="shared" si="1"/>
        <v>1.1429000000000001E-3</v>
      </c>
    </row>
    <row r="42" spans="1:7" x14ac:dyDescent="0.4">
      <c r="A42">
        <v>41</v>
      </c>
      <c r="B42">
        <v>1</v>
      </c>
      <c r="C42">
        <v>229.52</v>
      </c>
      <c r="D42">
        <v>2.9524E-3</v>
      </c>
      <c r="E42">
        <v>229.52</v>
      </c>
      <c r="F42">
        <v>4.1000000000000003E-3</v>
      </c>
      <c r="G42">
        <f t="shared" si="1"/>
        <v>1.1476000000000004E-3</v>
      </c>
    </row>
    <row r="43" spans="1:7" x14ac:dyDescent="0.4">
      <c r="A43">
        <v>42</v>
      </c>
      <c r="B43">
        <v>1</v>
      </c>
      <c r="C43">
        <v>230.48</v>
      </c>
      <c r="D43">
        <v>3.0476000000000001E-3</v>
      </c>
      <c r="E43">
        <v>230.48</v>
      </c>
      <c r="F43">
        <v>4.1999999999999997E-3</v>
      </c>
      <c r="G43">
        <f t="shared" si="1"/>
        <v>1.1523999999999996E-3</v>
      </c>
    </row>
    <row r="44" spans="1:7" x14ac:dyDescent="0.4">
      <c r="A44">
        <v>43</v>
      </c>
      <c r="B44">
        <v>1</v>
      </c>
      <c r="C44">
        <v>231.43</v>
      </c>
      <c r="D44">
        <v>3.1429000000000001E-3</v>
      </c>
      <c r="E44">
        <v>231.43</v>
      </c>
      <c r="F44">
        <v>4.3E-3</v>
      </c>
      <c r="G44">
        <f t="shared" si="1"/>
        <v>1.1570999999999999E-3</v>
      </c>
    </row>
    <row r="45" spans="1:7" x14ac:dyDescent="0.4">
      <c r="A45">
        <v>44</v>
      </c>
      <c r="B45">
        <v>1</v>
      </c>
      <c r="C45">
        <v>232.38</v>
      </c>
      <c r="D45">
        <v>3.2380999999999998E-3</v>
      </c>
      <c r="E45">
        <v>232.38</v>
      </c>
      <c r="F45">
        <v>4.4000000000000003E-3</v>
      </c>
      <c r="G45">
        <f t="shared" si="1"/>
        <v>1.1619000000000004E-3</v>
      </c>
    </row>
    <row r="46" spans="1:7" x14ac:dyDescent="0.4">
      <c r="A46">
        <v>45</v>
      </c>
      <c r="B46">
        <v>1</v>
      </c>
      <c r="C46">
        <v>233.33</v>
      </c>
      <c r="D46">
        <v>3.3333E-3</v>
      </c>
      <c r="E46">
        <v>233.33</v>
      </c>
      <c r="F46">
        <v>4.4999999999999997E-3</v>
      </c>
      <c r="G46">
        <f t="shared" si="1"/>
        <v>1.1666999999999997E-3</v>
      </c>
    </row>
    <row r="47" spans="1:7" x14ac:dyDescent="0.4">
      <c r="A47">
        <v>46</v>
      </c>
      <c r="B47">
        <v>1</v>
      </c>
      <c r="C47">
        <v>234.29</v>
      </c>
      <c r="D47">
        <v>3.4286E-3</v>
      </c>
      <c r="E47">
        <v>234.29</v>
      </c>
      <c r="F47">
        <v>4.5999999999999999E-3</v>
      </c>
      <c r="G47">
        <f t="shared" si="1"/>
        <v>1.1714E-3</v>
      </c>
    </row>
    <row r="48" spans="1:7" x14ac:dyDescent="0.4">
      <c r="A48">
        <v>47</v>
      </c>
      <c r="B48">
        <v>1</v>
      </c>
      <c r="C48">
        <v>235.24</v>
      </c>
      <c r="D48">
        <v>3.5238000000000001E-3</v>
      </c>
      <c r="E48">
        <v>235.24</v>
      </c>
      <c r="F48">
        <v>4.7000000000000002E-3</v>
      </c>
      <c r="G48">
        <f t="shared" si="1"/>
        <v>1.1762000000000001E-3</v>
      </c>
    </row>
    <row r="49" spans="1:7" x14ac:dyDescent="0.4">
      <c r="A49">
        <v>48</v>
      </c>
      <c r="B49">
        <v>1</v>
      </c>
      <c r="C49">
        <v>236.19</v>
      </c>
      <c r="D49">
        <v>3.6189999999999998E-3</v>
      </c>
      <c r="E49">
        <v>236.19</v>
      </c>
      <c r="F49">
        <v>4.7999999999999996E-3</v>
      </c>
      <c r="G49">
        <f t="shared" si="1"/>
        <v>1.1809999999999998E-3</v>
      </c>
    </row>
    <row r="50" spans="1:7" x14ac:dyDescent="0.4">
      <c r="A50">
        <v>49</v>
      </c>
      <c r="B50">
        <v>1</v>
      </c>
      <c r="C50">
        <v>237.14</v>
      </c>
      <c r="D50">
        <v>3.7142999999999998E-3</v>
      </c>
      <c r="E50">
        <v>237.14</v>
      </c>
      <c r="F50">
        <v>4.8999999999999998E-3</v>
      </c>
      <c r="G50">
        <f t="shared" si="1"/>
        <v>1.1857E-3</v>
      </c>
    </row>
    <row r="51" spans="1:7" x14ac:dyDescent="0.4">
      <c r="A51">
        <v>50</v>
      </c>
      <c r="B51">
        <v>1</v>
      </c>
      <c r="C51">
        <v>238.1</v>
      </c>
      <c r="D51">
        <v>3.8095E-3</v>
      </c>
      <c r="E51">
        <v>238.1</v>
      </c>
      <c r="F51">
        <v>5.0000000000000001E-3</v>
      </c>
      <c r="G51">
        <f t="shared" si="1"/>
        <v>1.1905000000000002E-3</v>
      </c>
    </row>
    <row r="52" spans="1:7" x14ac:dyDescent="0.4">
      <c r="A52">
        <v>51</v>
      </c>
      <c r="B52">
        <v>1</v>
      </c>
      <c r="C52">
        <v>239.05</v>
      </c>
      <c r="D52">
        <v>3.9047999999999999E-3</v>
      </c>
      <c r="E52">
        <v>239.05</v>
      </c>
      <c r="F52">
        <v>5.1000000000000004E-3</v>
      </c>
      <c r="G52">
        <f t="shared" si="1"/>
        <v>1.1952000000000004E-3</v>
      </c>
    </row>
    <row r="53" spans="1:7" x14ac:dyDescent="0.4">
      <c r="A53">
        <v>52</v>
      </c>
      <c r="B53">
        <v>1</v>
      </c>
      <c r="C53">
        <v>240</v>
      </c>
      <c r="D53">
        <v>4.0000000000000001E-3</v>
      </c>
      <c r="E53">
        <v>240</v>
      </c>
      <c r="F53">
        <v>5.1999999999999998E-3</v>
      </c>
      <c r="G53">
        <f t="shared" si="1"/>
        <v>1.1999999999999997E-3</v>
      </c>
    </row>
    <row r="54" spans="1:7" x14ac:dyDescent="0.4">
      <c r="A54">
        <v>53</v>
      </c>
      <c r="B54">
        <v>1</v>
      </c>
      <c r="C54">
        <v>240.95</v>
      </c>
      <c r="D54">
        <v>4.0952000000000002E-3</v>
      </c>
      <c r="E54">
        <v>240.95</v>
      </c>
      <c r="F54">
        <v>5.3E-3</v>
      </c>
      <c r="G54">
        <f t="shared" si="1"/>
        <v>1.2047999999999998E-3</v>
      </c>
    </row>
    <row r="55" spans="1:7" x14ac:dyDescent="0.4">
      <c r="A55">
        <v>54</v>
      </c>
      <c r="B55">
        <v>1</v>
      </c>
      <c r="C55">
        <v>241.9</v>
      </c>
      <c r="D55">
        <v>4.1904999999999998E-3</v>
      </c>
      <c r="E55">
        <v>241.9</v>
      </c>
      <c r="F55">
        <v>5.4000000000000003E-3</v>
      </c>
      <c r="G55">
        <f t="shared" si="1"/>
        <v>1.2095000000000005E-3</v>
      </c>
    </row>
    <row r="56" spans="1:7" x14ac:dyDescent="0.4">
      <c r="A56">
        <v>55</v>
      </c>
      <c r="B56">
        <v>1</v>
      </c>
      <c r="C56">
        <v>242.86</v>
      </c>
      <c r="D56">
        <v>4.2856999999999999E-3</v>
      </c>
      <c r="E56">
        <v>242.86</v>
      </c>
      <c r="F56">
        <v>5.4999999999999997E-3</v>
      </c>
      <c r="G56">
        <f t="shared" si="1"/>
        <v>1.2142999999999998E-3</v>
      </c>
    </row>
    <row r="57" spans="1:7" x14ac:dyDescent="0.4">
      <c r="A57">
        <v>56</v>
      </c>
      <c r="B57">
        <v>1</v>
      </c>
      <c r="C57">
        <v>243.81</v>
      </c>
      <c r="D57">
        <v>4.3810000000000003E-3</v>
      </c>
      <c r="E57">
        <v>243.81</v>
      </c>
      <c r="F57">
        <v>5.5999999999999999E-3</v>
      </c>
      <c r="G57">
        <f t="shared" si="1"/>
        <v>1.2189999999999996E-3</v>
      </c>
    </row>
    <row r="58" spans="1:7" x14ac:dyDescent="0.4">
      <c r="A58">
        <v>57</v>
      </c>
      <c r="B58">
        <v>1</v>
      </c>
      <c r="C58">
        <v>244.76</v>
      </c>
      <c r="D58">
        <v>4.4761999999999996E-3</v>
      </c>
      <c r="E58">
        <v>244.76</v>
      </c>
      <c r="F58">
        <v>5.7000000000000002E-3</v>
      </c>
      <c r="G58">
        <f t="shared" si="1"/>
        <v>1.2238000000000006E-3</v>
      </c>
    </row>
    <row r="59" spans="1:7" x14ac:dyDescent="0.4">
      <c r="A59">
        <v>58</v>
      </c>
      <c r="B59">
        <v>1</v>
      </c>
      <c r="C59">
        <v>245.71</v>
      </c>
      <c r="D59">
        <v>4.5713999999999998E-3</v>
      </c>
      <c r="E59">
        <v>245.71</v>
      </c>
      <c r="F59">
        <v>5.7999999999999996E-3</v>
      </c>
      <c r="G59">
        <f t="shared" si="1"/>
        <v>1.2285999999999998E-3</v>
      </c>
    </row>
    <row r="60" spans="1:7" x14ac:dyDescent="0.4">
      <c r="A60">
        <v>59</v>
      </c>
      <c r="B60">
        <v>1</v>
      </c>
      <c r="C60">
        <v>246.67</v>
      </c>
      <c r="D60">
        <v>4.6667000000000002E-3</v>
      </c>
      <c r="E60">
        <v>246.67</v>
      </c>
      <c r="F60">
        <v>5.8999999999999999E-3</v>
      </c>
      <c r="G60">
        <f t="shared" si="1"/>
        <v>1.2332999999999997E-3</v>
      </c>
    </row>
    <row r="61" spans="1:7" x14ac:dyDescent="0.4">
      <c r="A61">
        <v>60</v>
      </c>
      <c r="B61">
        <v>1</v>
      </c>
      <c r="C61">
        <v>247.62</v>
      </c>
      <c r="D61">
        <v>4.7619000000000003E-3</v>
      </c>
      <c r="E61">
        <v>247.62</v>
      </c>
      <c r="F61">
        <v>6.0000000000000001E-3</v>
      </c>
      <c r="G61">
        <f t="shared" si="1"/>
        <v>1.2380999999999998E-3</v>
      </c>
    </row>
    <row r="62" spans="1:7" x14ac:dyDescent="0.4">
      <c r="A62">
        <v>61</v>
      </c>
      <c r="B62">
        <v>1</v>
      </c>
      <c r="C62">
        <v>248.57</v>
      </c>
      <c r="D62">
        <v>4.8570999999999996E-3</v>
      </c>
      <c r="E62">
        <v>248.57</v>
      </c>
      <c r="F62">
        <v>6.1000000000000004E-3</v>
      </c>
      <c r="G62">
        <f t="shared" si="1"/>
        <v>1.2429000000000008E-3</v>
      </c>
    </row>
    <row r="63" spans="1:7" x14ac:dyDescent="0.4">
      <c r="A63">
        <v>62</v>
      </c>
      <c r="B63">
        <v>1</v>
      </c>
      <c r="C63">
        <v>249.52</v>
      </c>
      <c r="D63">
        <v>4.9524E-3</v>
      </c>
      <c r="E63">
        <v>249.52</v>
      </c>
      <c r="F63">
        <v>6.1999999999999998E-3</v>
      </c>
      <c r="G63">
        <f t="shared" si="1"/>
        <v>1.2475999999999998E-3</v>
      </c>
    </row>
    <row r="64" spans="1:7" x14ac:dyDescent="0.4">
      <c r="A64">
        <v>63</v>
      </c>
      <c r="B64">
        <v>1</v>
      </c>
      <c r="C64">
        <v>250.48</v>
      </c>
      <c r="D64">
        <v>5.0476000000000002E-3</v>
      </c>
      <c r="E64">
        <v>250.48</v>
      </c>
      <c r="F64">
        <v>6.3E-3</v>
      </c>
      <c r="G64">
        <f t="shared" si="1"/>
        <v>1.2523999999999999E-3</v>
      </c>
    </row>
    <row r="65" spans="1:7" x14ac:dyDescent="0.4">
      <c r="A65">
        <v>64</v>
      </c>
      <c r="B65">
        <v>1</v>
      </c>
      <c r="C65">
        <v>251.43</v>
      </c>
      <c r="D65">
        <v>5.1428999999999997E-3</v>
      </c>
      <c r="E65">
        <v>251.43</v>
      </c>
      <c r="F65">
        <v>6.4000000000000003E-3</v>
      </c>
      <c r="G65">
        <f t="shared" si="1"/>
        <v>1.2571000000000006E-3</v>
      </c>
    </row>
    <row r="66" spans="1:7" x14ac:dyDescent="0.4">
      <c r="A66">
        <v>65</v>
      </c>
      <c r="B66">
        <v>1</v>
      </c>
      <c r="C66">
        <v>252.38</v>
      </c>
      <c r="D66">
        <v>5.2380999999999999E-3</v>
      </c>
      <c r="E66">
        <v>252.38</v>
      </c>
      <c r="F66">
        <v>6.4999999999999997E-3</v>
      </c>
      <c r="G66">
        <f t="shared" ref="G66:G97" si="2">F66-D66</f>
        <v>1.2618999999999998E-3</v>
      </c>
    </row>
    <row r="67" spans="1:7" x14ac:dyDescent="0.4">
      <c r="A67">
        <v>66</v>
      </c>
      <c r="B67">
        <v>1</v>
      </c>
      <c r="C67">
        <v>253.33</v>
      </c>
      <c r="D67">
        <v>5.3333E-3</v>
      </c>
      <c r="E67">
        <v>253.33</v>
      </c>
      <c r="F67">
        <v>6.6E-3</v>
      </c>
      <c r="G67">
        <f t="shared" si="2"/>
        <v>1.2666999999999999E-3</v>
      </c>
    </row>
    <row r="68" spans="1:7" x14ac:dyDescent="0.4">
      <c r="A68">
        <v>67</v>
      </c>
      <c r="B68">
        <v>1</v>
      </c>
      <c r="C68">
        <v>254.29</v>
      </c>
      <c r="D68">
        <v>5.4285999999999996E-3</v>
      </c>
      <c r="E68">
        <v>254.29</v>
      </c>
      <c r="F68">
        <v>6.7000000000000002E-3</v>
      </c>
      <c r="G68">
        <f t="shared" si="2"/>
        <v>1.2714000000000007E-3</v>
      </c>
    </row>
    <row r="69" spans="1:7" x14ac:dyDescent="0.4">
      <c r="A69">
        <v>68</v>
      </c>
      <c r="B69">
        <v>1</v>
      </c>
      <c r="C69">
        <v>255.24</v>
      </c>
      <c r="D69">
        <v>5.5237999999999997E-3</v>
      </c>
      <c r="E69">
        <v>255.24</v>
      </c>
      <c r="F69">
        <v>6.7999999999999996E-3</v>
      </c>
      <c r="G69">
        <f t="shared" si="2"/>
        <v>1.2761999999999999E-3</v>
      </c>
    </row>
    <row r="70" spans="1:7" x14ac:dyDescent="0.4">
      <c r="A70">
        <v>69</v>
      </c>
      <c r="B70">
        <v>1</v>
      </c>
      <c r="C70">
        <v>256.19</v>
      </c>
      <c r="D70">
        <v>5.6189999999999999E-3</v>
      </c>
      <c r="E70">
        <v>256.19</v>
      </c>
      <c r="F70">
        <v>6.8999999999999999E-3</v>
      </c>
      <c r="G70">
        <f t="shared" si="2"/>
        <v>1.281E-3</v>
      </c>
    </row>
    <row r="71" spans="1:7" x14ac:dyDescent="0.4">
      <c r="A71">
        <v>70</v>
      </c>
      <c r="B71">
        <v>1</v>
      </c>
      <c r="C71">
        <v>257.14</v>
      </c>
      <c r="D71">
        <v>5.7143000000000003E-3</v>
      </c>
      <c r="E71">
        <v>257.14</v>
      </c>
      <c r="F71">
        <v>7.0000000000000001E-3</v>
      </c>
      <c r="G71">
        <f t="shared" si="2"/>
        <v>1.2856999999999999E-3</v>
      </c>
    </row>
    <row r="72" spans="1:7" x14ac:dyDescent="0.4">
      <c r="A72">
        <v>71</v>
      </c>
      <c r="B72">
        <v>1</v>
      </c>
      <c r="C72">
        <v>258.10000000000002</v>
      </c>
      <c r="D72">
        <v>5.8095000000000004E-3</v>
      </c>
      <c r="E72">
        <v>258.10000000000002</v>
      </c>
      <c r="F72">
        <v>7.1000000000000004E-3</v>
      </c>
      <c r="G72">
        <f t="shared" si="2"/>
        <v>1.2905E-3</v>
      </c>
    </row>
    <row r="73" spans="1:7" x14ac:dyDescent="0.4">
      <c r="A73">
        <v>72</v>
      </c>
      <c r="B73">
        <v>1</v>
      </c>
      <c r="C73">
        <v>259.05</v>
      </c>
      <c r="D73">
        <v>5.9048E-3</v>
      </c>
      <c r="E73">
        <v>259.05</v>
      </c>
      <c r="F73">
        <v>7.1999999999999998E-3</v>
      </c>
      <c r="G73">
        <f t="shared" si="2"/>
        <v>1.2951999999999998E-3</v>
      </c>
    </row>
    <row r="74" spans="1:7" x14ac:dyDescent="0.4">
      <c r="A74">
        <v>73</v>
      </c>
      <c r="B74">
        <v>1</v>
      </c>
      <c r="C74">
        <v>260</v>
      </c>
      <c r="D74">
        <v>6.0000000000000001E-3</v>
      </c>
      <c r="E74">
        <v>260</v>
      </c>
      <c r="F74">
        <v>7.3000000000000001E-3</v>
      </c>
      <c r="G74">
        <f t="shared" si="2"/>
        <v>1.2999999999999999E-3</v>
      </c>
    </row>
    <row r="75" spans="1:7" x14ac:dyDescent="0.4">
      <c r="A75">
        <v>74</v>
      </c>
      <c r="B75">
        <v>1</v>
      </c>
      <c r="C75">
        <v>260.95</v>
      </c>
      <c r="D75">
        <v>6.0952000000000003E-3</v>
      </c>
      <c r="E75">
        <v>260.95</v>
      </c>
      <c r="F75">
        <v>7.4000000000000003E-3</v>
      </c>
      <c r="G75">
        <f t="shared" si="2"/>
        <v>1.3048000000000001E-3</v>
      </c>
    </row>
    <row r="76" spans="1:7" x14ac:dyDescent="0.4">
      <c r="A76">
        <v>75</v>
      </c>
      <c r="B76">
        <v>1</v>
      </c>
      <c r="C76">
        <v>261.89999999999998</v>
      </c>
      <c r="D76">
        <v>6.1904999999999998E-3</v>
      </c>
      <c r="E76">
        <v>261.89999999999998</v>
      </c>
      <c r="F76">
        <v>7.4999999999999997E-3</v>
      </c>
      <c r="G76">
        <f t="shared" si="2"/>
        <v>1.3094999999999999E-3</v>
      </c>
    </row>
    <row r="77" spans="1:7" x14ac:dyDescent="0.4">
      <c r="A77">
        <v>76</v>
      </c>
      <c r="B77">
        <v>1</v>
      </c>
      <c r="C77">
        <v>262.86</v>
      </c>
      <c r="D77">
        <v>6.2857E-3</v>
      </c>
      <c r="E77">
        <v>262.86</v>
      </c>
      <c r="F77">
        <v>7.6E-3</v>
      </c>
      <c r="G77">
        <f t="shared" si="2"/>
        <v>1.3143E-3</v>
      </c>
    </row>
    <row r="78" spans="1:7" x14ac:dyDescent="0.4">
      <c r="A78">
        <v>77</v>
      </c>
      <c r="B78">
        <v>1</v>
      </c>
      <c r="C78">
        <v>263.81</v>
      </c>
      <c r="D78">
        <v>6.3810000000000004E-3</v>
      </c>
      <c r="E78">
        <v>263.81</v>
      </c>
      <c r="F78">
        <v>7.7000000000000002E-3</v>
      </c>
      <c r="G78">
        <f t="shared" si="2"/>
        <v>1.3189999999999999E-3</v>
      </c>
    </row>
    <row r="79" spans="1:7" x14ac:dyDescent="0.4">
      <c r="A79">
        <v>78</v>
      </c>
      <c r="B79">
        <v>1</v>
      </c>
      <c r="C79">
        <v>264.76</v>
      </c>
      <c r="D79">
        <v>6.4761999999999997E-3</v>
      </c>
      <c r="E79">
        <v>264.76</v>
      </c>
      <c r="F79">
        <v>7.7999999999999996E-3</v>
      </c>
      <c r="G79">
        <f t="shared" si="2"/>
        <v>1.3238E-3</v>
      </c>
    </row>
    <row r="80" spans="1:7" x14ac:dyDescent="0.4">
      <c r="A80">
        <v>79</v>
      </c>
      <c r="B80">
        <v>1</v>
      </c>
      <c r="C80">
        <v>265.70999999999998</v>
      </c>
      <c r="D80">
        <v>6.5713999999999998E-3</v>
      </c>
      <c r="E80">
        <v>265.70999999999998</v>
      </c>
      <c r="F80">
        <v>7.9000000000000008E-3</v>
      </c>
      <c r="G80">
        <f t="shared" si="2"/>
        <v>1.328600000000001E-3</v>
      </c>
    </row>
    <row r="81" spans="1:7" x14ac:dyDescent="0.4">
      <c r="A81">
        <v>80</v>
      </c>
      <c r="B81">
        <v>1</v>
      </c>
      <c r="C81">
        <v>266.67</v>
      </c>
      <c r="D81">
        <v>6.6667000000000002E-3</v>
      </c>
      <c r="E81">
        <v>266.67</v>
      </c>
      <c r="F81">
        <v>8.0000000000000002E-3</v>
      </c>
      <c r="G81">
        <f t="shared" si="2"/>
        <v>1.3332999999999999E-3</v>
      </c>
    </row>
    <row r="82" spans="1:7" x14ac:dyDescent="0.4">
      <c r="A82">
        <v>81</v>
      </c>
      <c r="B82">
        <v>1</v>
      </c>
      <c r="C82">
        <v>267.62</v>
      </c>
      <c r="D82">
        <v>6.7619000000000004E-3</v>
      </c>
      <c r="E82">
        <v>267.62</v>
      </c>
      <c r="F82">
        <v>8.0999999999999996E-3</v>
      </c>
      <c r="G82">
        <f t="shared" si="2"/>
        <v>1.3380999999999992E-3</v>
      </c>
    </row>
    <row r="83" spans="1:7" x14ac:dyDescent="0.4">
      <c r="A83">
        <v>82</v>
      </c>
      <c r="B83">
        <v>1</v>
      </c>
      <c r="C83">
        <v>268.57</v>
      </c>
      <c r="D83">
        <v>6.8570999999999997E-3</v>
      </c>
      <c r="E83">
        <v>268.57</v>
      </c>
      <c r="F83">
        <v>8.2000000000000007E-3</v>
      </c>
      <c r="G83">
        <f t="shared" si="2"/>
        <v>1.342900000000001E-3</v>
      </c>
    </row>
    <row r="84" spans="1:7" x14ac:dyDescent="0.4">
      <c r="A84">
        <v>83</v>
      </c>
      <c r="B84">
        <v>1</v>
      </c>
      <c r="C84">
        <v>269.52</v>
      </c>
      <c r="D84">
        <v>6.9524000000000001E-3</v>
      </c>
      <c r="E84">
        <v>269.52</v>
      </c>
      <c r="F84">
        <v>8.3000000000000001E-3</v>
      </c>
      <c r="G84">
        <f t="shared" si="2"/>
        <v>1.3476E-3</v>
      </c>
    </row>
    <row r="85" spans="1:7" x14ac:dyDescent="0.4">
      <c r="A85">
        <v>84</v>
      </c>
      <c r="B85">
        <v>1</v>
      </c>
      <c r="C85">
        <v>270.48</v>
      </c>
      <c r="D85">
        <v>7.0476000000000002E-3</v>
      </c>
      <c r="E85">
        <v>270.48</v>
      </c>
      <c r="F85">
        <v>8.3999999999999995E-3</v>
      </c>
      <c r="G85">
        <f t="shared" si="2"/>
        <v>1.3523999999999993E-3</v>
      </c>
    </row>
    <row r="86" spans="1:7" x14ac:dyDescent="0.4">
      <c r="A86">
        <v>85</v>
      </c>
      <c r="B86">
        <v>1</v>
      </c>
      <c r="C86">
        <v>271.43</v>
      </c>
      <c r="D86">
        <v>7.1428999999999998E-3</v>
      </c>
      <c r="E86">
        <v>271.43</v>
      </c>
      <c r="F86">
        <v>8.5000000000000006E-3</v>
      </c>
      <c r="G86">
        <f t="shared" si="2"/>
        <v>1.3571000000000008E-3</v>
      </c>
    </row>
    <row r="87" spans="1:7" x14ac:dyDescent="0.4">
      <c r="A87">
        <v>86</v>
      </c>
      <c r="B87">
        <v>1</v>
      </c>
      <c r="C87">
        <v>272.38</v>
      </c>
      <c r="D87">
        <v>7.2380999999999999E-3</v>
      </c>
      <c r="E87">
        <v>272.38</v>
      </c>
      <c r="F87">
        <v>8.6E-3</v>
      </c>
      <c r="G87">
        <f t="shared" si="2"/>
        <v>1.3619000000000001E-3</v>
      </c>
    </row>
    <row r="88" spans="1:7" x14ac:dyDescent="0.4">
      <c r="A88">
        <v>87</v>
      </c>
      <c r="B88">
        <v>1</v>
      </c>
      <c r="C88">
        <v>273.33</v>
      </c>
      <c r="D88">
        <v>7.3333000000000001E-3</v>
      </c>
      <c r="E88">
        <v>273.33</v>
      </c>
      <c r="F88">
        <v>8.6999999999999994E-3</v>
      </c>
      <c r="G88">
        <f t="shared" si="2"/>
        <v>1.3666999999999993E-3</v>
      </c>
    </row>
    <row r="89" spans="1:7" x14ac:dyDescent="0.4">
      <c r="A89">
        <v>88</v>
      </c>
      <c r="B89">
        <v>1</v>
      </c>
      <c r="C89">
        <v>274.29000000000002</v>
      </c>
      <c r="D89">
        <v>7.4285999999999996E-3</v>
      </c>
      <c r="E89">
        <v>274.29000000000002</v>
      </c>
      <c r="F89">
        <v>8.8000000000000005E-3</v>
      </c>
      <c r="G89">
        <f t="shared" si="2"/>
        <v>1.3714000000000009E-3</v>
      </c>
    </row>
    <row r="90" spans="1:7" x14ac:dyDescent="0.4">
      <c r="A90">
        <v>89</v>
      </c>
      <c r="B90">
        <v>1</v>
      </c>
      <c r="C90">
        <v>275.24</v>
      </c>
      <c r="D90">
        <v>7.5237999999999998E-3</v>
      </c>
      <c r="E90">
        <v>275.24</v>
      </c>
      <c r="F90">
        <v>8.8999999999999999E-3</v>
      </c>
      <c r="G90">
        <f t="shared" si="2"/>
        <v>1.3762000000000002E-3</v>
      </c>
    </row>
    <row r="91" spans="1:7" x14ac:dyDescent="0.4">
      <c r="A91">
        <v>90</v>
      </c>
      <c r="B91">
        <v>1</v>
      </c>
      <c r="C91">
        <v>276.19</v>
      </c>
      <c r="D91">
        <v>7.6189999999999999E-3</v>
      </c>
      <c r="E91">
        <v>276.19</v>
      </c>
      <c r="F91">
        <v>8.9999999999999993E-3</v>
      </c>
      <c r="G91">
        <f t="shared" si="2"/>
        <v>1.3809999999999994E-3</v>
      </c>
    </row>
    <row r="92" spans="1:7" x14ac:dyDescent="0.4">
      <c r="A92">
        <v>91</v>
      </c>
      <c r="B92">
        <v>1</v>
      </c>
      <c r="C92">
        <v>277.14</v>
      </c>
      <c r="D92">
        <v>7.7143000000000003E-3</v>
      </c>
      <c r="E92">
        <v>277.14</v>
      </c>
      <c r="F92">
        <v>9.1000000000000004E-3</v>
      </c>
      <c r="G92">
        <f t="shared" si="2"/>
        <v>1.3857000000000001E-3</v>
      </c>
    </row>
    <row r="93" spans="1:7" x14ac:dyDescent="0.4">
      <c r="A93">
        <v>92</v>
      </c>
      <c r="B93">
        <v>1</v>
      </c>
      <c r="C93">
        <v>278.10000000000002</v>
      </c>
      <c r="D93">
        <v>7.8094999999999996E-3</v>
      </c>
      <c r="E93">
        <v>278.10000000000002</v>
      </c>
      <c r="F93">
        <v>9.1999999999999998E-3</v>
      </c>
      <c r="G93">
        <f t="shared" si="2"/>
        <v>1.3905000000000002E-3</v>
      </c>
    </row>
    <row r="94" spans="1:7" x14ac:dyDescent="0.4">
      <c r="A94">
        <v>93</v>
      </c>
      <c r="B94">
        <v>1</v>
      </c>
      <c r="C94">
        <v>279.05</v>
      </c>
      <c r="D94">
        <v>7.9048E-3</v>
      </c>
      <c r="E94">
        <v>279.05</v>
      </c>
      <c r="F94">
        <v>9.2999999999999992E-3</v>
      </c>
      <c r="G94">
        <f t="shared" si="2"/>
        <v>1.3951999999999992E-3</v>
      </c>
    </row>
    <row r="95" spans="1:7" x14ac:dyDescent="0.4">
      <c r="A95">
        <v>94</v>
      </c>
      <c r="B95">
        <v>1</v>
      </c>
      <c r="C95">
        <v>280</v>
      </c>
      <c r="D95">
        <v>8.0000000000000002E-3</v>
      </c>
      <c r="E95">
        <v>280</v>
      </c>
      <c r="F95">
        <v>9.4000000000000004E-3</v>
      </c>
      <c r="G95">
        <f t="shared" si="2"/>
        <v>1.4000000000000002E-3</v>
      </c>
    </row>
    <row r="96" spans="1:7" x14ac:dyDescent="0.4">
      <c r="A96">
        <v>95</v>
      </c>
      <c r="B96">
        <v>1</v>
      </c>
      <c r="C96">
        <v>280.95</v>
      </c>
      <c r="D96">
        <v>8.0952000000000003E-3</v>
      </c>
      <c r="E96">
        <v>280.95</v>
      </c>
      <c r="F96">
        <v>9.4999999999999998E-3</v>
      </c>
      <c r="G96">
        <f t="shared" si="2"/>
        <v>1.4047999999999995E-3</v>
      </c>
    </row>
    <row r="97" spans="1:7" x14ac:dyDescent="0.4">
      <c r="A97">
        <v>96</v>
      </c>
      <c r="B97">
        <v>1</v>
      </c>
      <c r="C97">
        <v>281.89999999999998</v>
      </c>
      <c r="D97">
        <v>8.1904999999999999E-3</v>
      </c>
      <c r="E97">
        <v>281.89999999999998</v>
      </c>
      <c r="F97">
        <v>9.5999999999999992E-3</v>
      </c>
      <c r="G97">
        <f t="shared" si="2"/>
        <v>1.4094999999999993E-3</v>
      </c>
    </row>
    <row r="98" spans="1:7" x14ac:dyDescent="0.4">
      <c r="A98">
        <v>97</v>
      </c>
      <c r="B98">
        <v>1</v>
      </c>
      <c r="C98">
        <v>282.86</v>
      </c>
      <c r="D98">
        <v>8.2857E-3</v>
      </c>
      <c r="E98">
        <v>282.86</v>
      </c>
      <c r="F98">
        <v>9.7000000000000003E-3</v>
      </c>
      <c r="G98">
        <f t="shared" ref="G98:G129" si="3">F98-D98</f>
        <v>1.4143000000000003E-3</v>
      </c>
    </row>
    <row r="99" spans="1:7" x14ac:dyDescent="0.4">
      <c r="A99">
        <v>98</v>
      </c>
      <c r="B99">
        <v>1</v>
      </c>
      <c r="C99">
        <v>283.81</v>
      </c>
      <c r="D99">
        <v>8.3809999999999996E-3</v>
      </c>
      <c r="E99">
        <v>283.81</v>
      </c>
      <c r="F99">
        <v>9.7999999999999997E-3</v>
      </c>
      <c r="G99">
        <f t="shared" si="3"/>
        <v>1.4190000000000001E-3</v>
      </c>
    </row>
    <row r="100" spans="1:7" x14ac:dyDescent="0.4">
      <c r="A100">
        <v>99</v>
      </c>
      <c r="B100">
        <v>1</v>
      </c>
      <c r="C100">
        <v>284.76</v>
      </c>
      <c r="D100">
        <v>8.4761999999999997E-3</v>
      </c>
      <c r="E100">
        <v>284.76</v>
      </c>
      <c r="F100">
        <v>9.9000000000000008E-3</v>
      </c>
      <c r="G100">
        <f t="shared" si="3"/>
        <v>1.4238000000000011E-3</v>
      </c>
    </row>
    <row r="101" spans="1:7" x14ac:dyDescent="0.4">
      <c r="A101">
        <v>100</v>
      </c>
      <c r="B101">
        <v>1</v>
      </c>
      <c r="C101">
        <v>285.70999999999998</v>
      </c>
      <c r="D101">
        <v>8.5713999999999999E-3</v>
      </c>
      <c r="E101">
        <v>285.70999999999998</v>
      </c>
      <c r="F101">
        <v>0.01</v>
      </c>
      <c r="G101">
        <f t="shared" si="3"/>
        <v>1.4286000000000004E-3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5AFF-27BF-452A-A9DE-5B98ED3E231E}">
  <dimension ref="A1:C4"/>
  <sheetViews>
    <sheetView zoomScale="85" zoomScaleNormal="85" workbookViewId="0">
      <selection activeCell="L22" sqref="L22"/>
    </sheetView>
  </sheetViews>
  <sheetFormatPr defaultRowHeight="18.75" x14ac:dyDescent="0.4"/>
  <sheetData>
    <row r="1" spans="1:3" x14ac:dyDescent="0.4">
      <c r="B1" t="s">
        <v>23</v>
      </c>
    </row>
    <row r="2" spans="1:3" x14ac:dyDescent="0.4">
      <c r="A2">
        <v>1</v>
      </c>
      <c r="B2" s="1">
        <v>9.6062000000000005E-3</v>
      </c>
      <c r="C2">
        <f>10^(-10)</f>
        <v>1E-10</v>
      </c>
    </row>
    <row r="3" spans="1:3" x14ac:dyDescent="0.4">
      <c r="A3">
        <v>2</v>
      </c>
      <c r="B3" s="1">
        <v>1.1522000000000001E-5</v>
      </c>
      <c r="C3">
        <f>10^(-10)</f>
        <v>1E-10</v>
      </c>
    </row>
    <row r="4" spans="1:3" x14ac:dyDescent="0.4">
      <c r="A4">
        <v>3</v>
      </c>
      <c r="B4" s="1">
        <v>3.8359999999999997E-11</v>
      </c>
      <c r="C4">
        <f>10^(-10)</f>
        <v>1E-10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139FF-1F7E-4D43-BA77-73E4946B7F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RES_1elem (2)</vt:lpstr>
      <vt:lpstr>step11_RESI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Nagasaku Koichi</dc:creator>
  <cp:lastModifiedBy>Nagasaku Koichi</cp:lastModifiedBy>
  <dcterms:created xsi:type="dcterms:W3CDTF">2025-07-13T14:47:44Z</dcterms:created>
  <dcterms:modified xsi:type="dcterms:W3CDTF">2025-07-14T18:02:41Z</dcterms:modified>
</cp:coreProperties>
</file>